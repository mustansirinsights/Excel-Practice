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9219a29b549852/Documents/"/>
    </mc:Choice>
  </mc:AlternateContent>
  <xr:revisionPtr revIDLastSave="654" documentId="8_{2FAAB474-A2FD-4D6D-9F83-623DD966E076}" xr6:coauthVersionLast="47" xr6:coauthVersionMax="47" xr10:uidLastSave="{2243E7E7-788F-4232-A29C-270B4AFEA7F7}"/>
  <bookViews>
    <workbookView xWindow="-108" yWindow="-108" windowWidth="23256" windowHeight="13896" firstSheet="5" activeTab="9" xr2:uid="{20737F92-CE9F-4F23-AF95-D0CC251208D0}"/>
  </bookViews>
  <sheets>
    <sheet name="vlookup=,xlookup" sheetId="2" r:id="rId1"/>
    <sheet name="Sheet2" sheetId="7" r:id="rId2"/>
    <sheet name="vlookup,xlookup" sheetId="1" r:id="rId3"/>
    <sheet name="match,index" sheetId="4" r:id="rId4"/>
    <sheet name="Sheet5" sheetId="5" r:id="rId5"/>
    <sheet name="hlookup" sheetId="3" r:id="rId6"/>
    <sheet name="Sheet1" sheetId="6" r:id="rId7"/>
    <sheet name="Sheet3" sheetId="8" r:id="rId8"/>
    <sheet name="Sheet4" sheetId="9" r:id="rId9"/>
    <sheet name="lower,upper,proper,left, right" sheetId="10" r:id="rId10"/>
    <sheet name="Sheet7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3" i="10" l="1"/>
  <c r="T53" i="10"/>
  <c r="T54" i="10"/>
  <c r="T55" i="10"/>
  <c r="T56" i="10"/>
  <c r="T57" i="10"/>
  <c r="T58" i="10"/>
  <c r="T59" i="10"/>
  <c r="T60" i="10"/>
  <c r="T61" i="10"/>
  <c r="T62" i="10"/>
  <c r="T63" i="10"/>
  <c r="T64" i="10"/>
  <c r="T65" i="10"/>
  <c r="T66" i="10"/>
  <c r="T67" i="10"/>
  <c r="T68" i="10"/>
  <c r="T69" i="10"/>
  <c r="T70" i="10"/>
  <c r="T71" i="10"/>
  <c r="T72" i="10"/>
  <c r="T73" i="10"/>
  <c r="T74" i="10"/>
  <c r="T75" i="10"/>
  <c r="T76" i="10"/>
  <c r="T77" i="10"/>
  <c r="T78" i="10"/>
  <c r="T52" i="10"/>
  <c r="S53" i="10"/>
  <c r="S54" i="10"/>
  <c r="S55" i="10"/>
  <c r="S56" i="10"/>
  <c r="S57" i="10"/>
  <c r="S58" i="10"/>
  <c r="S59" i="10"/>
  <c r="S60" i="10"/>
  <c r="S61" i="10"/>
  <c r="S62" i="10"/>
  <c r="S63" i="10"/>
  <c r="S64" i="10"/>
  <c r="S65" i="10"/>
  <c r="S66" i="10"/>
  <c r="S67" i="10"/>
  <c r="S68" i="10"/>
  <c r="S69" i="10"/>
  <c r="S70" i="10"/>
  <c r="S71" i="10"/>
  <c r="S72" i="10"/>
  <c r="S73" i="10"/>
  <c r="S74" i="10"/>
  <c r="S75" i="10"/>
  <c r="S76" i="10"/>
  <c r="S77" i="10"/>
  <c r="S78" i="10"/>
  <c r="S52" i="10"/>
  <c r="R58" i="10"/>
  <c r="R59" i="10"/>
  <c r="R60" i="10"/>
  <c r="R61" i="10"/>
  <c r="R62" i="10"/>
  <c r="R64" i="10"/>
  <c r="R65" i="10"/>
  <c r="R66" i="10"/>
  <c r="R67" i="10"/>
  <c r="R68" i="10"/>
  <c r="R69" i="10"/>
  <c r="R70" i="10"/>
  <c r="R71" i="10"/>
  <c r="R72" i="10"/>
  <c r="R73" i="10"/>
  <c r="R74" i="10"/>
  <c r="R75" i="10"/>
  <c r="R76" i="10"/>
  <c r="R77" i="10"/>
  <c r="R78" i="10"/>
  <c r="R53" i="10"/>
  <c r="R54" i="10"/>
  <c r="R55" i="10"/>
  <c r="R56" i="10"/>
  <c r="R57" i="10"/>
  <c r="R52" i="10"/>
  <c r="Q49" i="10"/>
  <c r="Q46" i="10"/>
  <c r="V28" i="10"/>
  <c r="V27" i="10"/>
  <c r="V26" i="10"/>
  <c r="R44" i="10"/>
  <c r="D62" i="10"/>
  <c r="D61" i="10"/>
  <c r="R32" i="10"/>
  <c r="Q32" i="10"/>
  <c r="E58" i="10"/>
  <c r="T27" i="10"/>
  <c r="Q26" i="10"/>
  <c r="Q31" i="10" s="1"/>
  <c r="V3" i="10"/>
  <c r="V4" i="10"/>
  <c r="V5" i="10"/>
  <c r="V6" i="10"/>
  <c r="V7" i="10"/>
  <c r="V9" i="10"/>
  <c r="V2" i="10"/>
  <c r="U3" i="10"/>
  <c r="U4" i="10"/>
  <c r="U5" i="10"/>
  <c r="U6" i="10"/>
  <c r="U7" i="10"/>
  <c r="U8" i="10"/>
  <c r="U9" i="10"/>
  <c r="U10" i="10"/>
  <c r="U11" i="10"/>
  <c r="U2" i="10"/>
  <c r="T3" i="10"/>
  <c r="T4" i="10"/>
  <c r="T5" i="10"/>
  <c r="T6" i="10"/>
  <c r="T7" i="10"/>
  <c r="T8" i="10"/>
  <c r="T9" i="10"/>
  <c r="T10" i="10"/>
  <c r="T11" i="10"/>
  <c r="T2" i="10"/>
  <c r="S3" i="10"/>
  <c r="S4" i="10"/>
  <c r="S5" i="10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" i="10"/>
  <c r="R3" i="10"/>
  <c r="R4" i="10"/>
  <c r="R5" i="10"/>
  <c r="R6" i="10"/>
  <c r="R7" i="10"/>
  <c r="R8" i="10"/>
  <c r="R9" i="10"/>
  <c r="R2" i="10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" i="10"/>
  <c r="Q24" i="9"/>
  <c r="Q21" i="9"/>
  <c r="Q15" i="9"/>
  <c r="Q9" i="9"/>
  <c r="Q12" i="9"/>
  <c r="Q6" i="9"/>
  <c r="Q11" i="8"/>
  <c r="Q12" i="8"/>
  <c r="Q13" i="8"/>
  <c r="Q14" i="8"/>
  <c r="Q15" i="8"/>
  <c r="Q16" i="8"/>
  <c r="Q17" i="8"/>
  <c r="Q18" i="8"/>
  <c r="Q10" i="8"/>
  <c r="R11" i="8"/>
  <c r="R12" i="8"/>
  <c r="R13" i="8"/>
  <c r="R14" i="8"/>
  <c r="R15" i="8"/>
  <c r="R16" i="8"/>
  <c r="R17" i="8"/>
  <c r="R18" i="8"/>
  <c r="R10" i="8"/>
  <c r="H20" i="6"/>
  <c r="H8" i="6"/>
  <c r="H16" i="6" a="1"/>
  <c r="H16" i="6" s="1"/>
  <c r="H12" i="6"/>
  <c r="H5" i="6"/>
  <c r="L11" i="5"/>
  <c r="K11" i="5"/>
  <c r="J11" i="5"/>
  <c r="I11" i="5"/>
  <c r="L10" i="5"/>
  <c r="K10" i="5"/>
  <c r="J10" i="5"/>
  <c r="I10" i="5"/>
  <c r="L4" i="5"/>
  <c r="K4" i="5"/>
  <c r="I4" i="5"/>
  <c r="J4" i="5"/>
  <c r="L3" i="5"/>
  <c r="K3" i="5"/>
  <c r="I3" i="5"/>
  <c r="J3" i="5"/>
  <c r="E28" i="4"/>
  <c r="E27" i="4"/>
  <c r="E25" i="4"/>
  <c r="E24" i="4"/>
  <c r="F22" i="4"/>
  <c r="F21" i="4"/>
  <c r="G18" i="4"/>
  <c r="G17" i="4"/>
  <c r="G13" i="4"/>
  <c r="G10" i="4"/>
  <c r="G7" i="4"/>
  <c r="R20" i="3"/>
  <c r="R19" i="3"/>
  <c r="R18" i="3"/>
  <c r="R17" i="3"/>
  <c r="R16" i="3"/>
  <c r="R15" i="3"/>
  <c r="R14" i="3"/>
  <c r="C17" i="3"/>
  <c r="C14" i="3"/>
  <c r="P6" i="2"/>
  <c r="P5" i="2"/>
  <c r="P4" i="2"/>
  <c r="P3" i="2"/>
  <c r="O6" i="2"/>
  <c r="O5" i="2"/>
  <c r="O4" i="2"/>
  <c r="N6" i="2"/>
  <c r="N5" i="2"/>
  <c r="N4" i="2"/>
  <c r="O3" i="2"/>
  <c r="N3" i="2"/>
  <c r="F55" i="1"/>
  <c r="F56" i="1"/>
  <c r="F57" i="1"/>
  <c r="F54" i="1"/>
  <c r="E55" i="1"/>
  <c r="E56" i="1"/>
  <c r="E57" i="1"/>
  <c r="E54" i="1"/>
  <c r="D55" i="1"/>
  <c r="D56" i="1"/>
  <c r="D57" i="1"/>
  <c r="D54" i="1"/>
  <c r="F41" i="1"/>
  <c r="F37" i="1"/>
  <c r="C25" i="1"/>
  <c r="C26" i="1"/>
  <c r="C27" i="1"/>
  <c r="B25" i="1"/>
  <c r="B26" i="1"/>
  <c r="B27" i="1"/>
  <c r="C24" i="1"/>
  <c r="B24" i="1"/>
  <c r="G17" i="1"/>
  <c r="G14" i="1"/>
  <c r="C15" i="1"/>
  <c r="C16" i="1"/>
  <c r="C17" i="1"/>
  <c r="C14" i="1"/>
  <c r="B15" i="1"/>
  <c r="B16" i="1"/>
  <c r="B17" i="1"/>
  <c r="B14" i="1"/>
  <c r="G10" i="1"/>
  <c r="G7" i="1"/>
  <c r="G5" i="1"/>
  <c r="R31" i="10" l="1"/>
  <c r="V8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<sst xmlns="http://schemas.openxmlformats.org/spreadsheetml/2006/main" count="2538" uniqueCount="406">
  <si>
    <t>Product_ID</t>
  </si>
  <si>
    <t>Product_Name</t>
  </si>
  <si>
    <t>Category</t>
  </si>
  <si>
    <t>Unit_Price</t>
  </si>
  <si>
    <t>Supplier</t>
  </si>
  <si>
    <t>P101</t>
  </si>
  <si>
    <t>Laptop</t>
  </si>
  <si>
    <t>Electronics</t>
  </si>
  <si>
    <t>HP</t>
  </si>
  <si>
    <t>P102</t>
  </si>
  <si>
    <t>Keyboard</t>
  </si>
  <si>
    <t>Logitech</t>
  </si>
  <si>
    <t>P103</t>
  </si>
  <si>
    <t>Office Chair</t>
  </si>
  <si>
    <t>Furniture</t>
  </si>
  <si>
    <t>FeatherLite</t>
  </si>
  <si>
    <t>P104</t>
  </si>
  <si>
    <t>Desk</t>
  </si>
  <si>
    <t>IKEA</t>
  </si>
  <si>
    <t>P105</t>
  </si>
  <si>
    <t>Mouse</t>
  </si>
  <si>
    <t>P106</t>
  </si>
  <si>
    <t>Printer</t>
  </si>
  <si>
    <t>Canon</t>
  </si>
  <si>
    <t>P107</t>
  </si>
  <si>
    <t>Monitor</t>
  </si>
  <si>
    <t>Dell</t>
  </si>
  <si>
    <t>P108</t>
  </si>
  <si>
    <t>Bookshelf</t>
  </si>
  <si>
    <t>P109</t>
  </si>
  <si>
    <t>Headphones</t>
  </si>
  <si>
    <t>Sony</t>
  </si>
  <si>
    <t>P110</t>
  </si>
  <si>
    <t>Webcam</t>
  </si>
  <si>
    <t>Lenovo</t>
  </si>
  <si>
    <t>EID</t>
  </si>
  <si>
    <t>Name</t>
  </si>
  <si>
    <t>Age</t>
  </si>
  <si>
    <t>Gender</t>
  </si>
  <si>
    <t>Department</t>
  </si>
  <si>
    <t>Job_Role</t>
  </si>
  <si>
    <t>Salary</t>
  </si>
  <si>
    <t>Experience_Years</t>
  </si>
  <si>
    <t>City</t>
  </si>
  <si>
    <t>Joining_Date</t>
  </si>
  <si>
    <t>Performance_Rating</t>
  </si>
  <si>
    <t>Rahul Sharma</t>
  </si>
  <si>
    <t>Male</t>
  </si>
  <si>
    <t>IT</t>
  </si>
  <si>
    <t>Developer</t>
  </si>
  <si>
    <t>Delhi</t>
  </si>
  <si>
    <t>Priya Verma</t>
  </si>
  <si>
    <t>Female</t>
  </si>
  <si>
    <t>HR</t>
  </si>
  <si>
    <t>HR Manager</t>
  </si>
  <si>
    <t>Mumbai</t>
  </si>
  <si>
    <t>Amit Kumar</t>
  </si>
  <si>
    <t>Finance</t>
  </si>
  <si>
    <t>Accountant</t>
  </si>
  <si>
    <t>Sneha Singh</t>
  </si>
  <si>
    <t>Data Analyst</t>
  </si>
  <si>
    <t>Bangalore</t>
  </si>
  <si>
    <t>Rohit Gupta</t>
  </si>
  <si>
    <t>Sales</t>
  </si>
  <si>
    <t>Sales Manager</t>
  </si>
  <si>
    <t>Pune</t>
  </si>
  <si>
    <t>Neha Kapoor</t>
  </si>
  <si>
    <t>Marketing</t>
  </si>
  <si>
    <t>Executive</t>
  </si>
  <si>
    <t>Vikram Mehta</t>
  </si>
  <si>
    <t>Team Lead</t>
  </si>
  <si>
    <t>Hyderabad</t>
  </si>
  <si>
    <t>Anjali Rao</t>
  </si>
  <si>
    <t>Financial Analyst</t>
  </si>
  <si>
    <t>Karan Malhotra</t>
  </si>
  <si>
    <t>Sales Executive</t>
  </si>
  <si>
    <t>Pooja Sharma</t>
  </si>
  <si>
    <t>Recruiter</t>
  </si>
  <si>
    <t>Arjun Patel</t>
  </si>
  <si>
    <t>Ahmedabad</t>
  </si>
  <si>
    <t>Meena Joshi</t>
  </si>
  <si>
    <t>Finance Manager</t>
  </si>
  <si>
    <t>Suresh Yadav</t>
  </si>
  <si>
    <t>Jaipur</t>
  </si>
  <si>
    <t>Kavita Nair</t>
  </si>
  <si>
    <t>Project Manager</t>
  </si>
  <si>
    <t>Manish Verma</t>
  </si>
  <si>
    <t>Chennai</t>
  </si>
  <si>
    <t>Riya Kapoor</t>
  </si>
  <si>
    <t>HR Executive</t>
  </si>
  <si>
    <t>Deepak Singh</t>
  </si>
  <si>
    <t>Senior Developer</t>
  </si>
  <si>
    <t>Nisha Agarwal</t>
  </si>
  <si>
    <t>Marketing Manager</t>
  </si>
  <si>
    <t>Varun Shah</t>
  </si>
  <si>
    <t>Simran Kaur</t>
  </si>
  <si>
    <t>Chandigarh</t>
  </si>
  <si>
    <t>Akash Jain</t>
  </si>
  <si>
    <t>Architect</t>
  </si>
  <si>
    <t>Divya Menon</t>
  </si>
  <si>
    <t>Kochi</t>
  </si>
  <si>
    <t>Naveen Reddy</t>
  </si>
  <si>
    <t>Shweta Mishra</t>
  </si>
  <si>
    <t>Lucknow</t>
  </si>
  <si>
    <t>Rajesh Kumar</t>
  </si>
  <si>
    <t>IT Manager</t>
  </si>
  <si>
    <t>Tanya Gupta</t>
  </si>
  <si>
    <t>Mohit Bansal</t>
  </si>
  <si>
    <t>Senior Accountant</t>
  </si>
  <si>
    <t>Ayesha Khan</t>
  </si>
  <si>
    <t>Sanjay Patel</t>
  </si>
  <si>
    <t>age</t>
  </si>
  <si>
    <t>job rate</t>
  </si>
  <si>
    <t>salary</t>
  </si>
  <si>
    <t>show the price of this item p101</t>
  </si>
  <si>
    <t>product nameof p109</t>
  </si>
  <si>
    <t>supplier</t>
  </si>
  <si>
    <t>show the price of laptop</t>
  </si>
  <si>
    <t xml:space="preserve">vlookup has a condition which range we selecting it will be based on first column </t>
  </si>
  <si>
    <t xml:space="preserve">so if you are selecting from 2 column so you must start counting also from second column not from first from where you starting so start counting only from there </t>
  </si>
  <si>
    <t xml:space="preserve">show supplier of key board </t>
  </si>
  <si>
    <t>product name</t>
  </si>
  <si>
    <t>unit price</t>
  </si>
  <si>
    <t>show the name of the product of P109</t>
  </si>
  <si>
    <t>so vlookup we cannot find value of left sides so for fix like this errors we use xlookup</t>
  </si>
  <si>
    <t>mouse price</t>
  </si>
  <si>
    <t>W A Q  function to count how many users are working in IT department</t>
  </si>
  <si>
    <t>W  A Q function to calculate total salary in HR dep</t>
  </si>
  <si>
    <t>create new column bonus IF your sale upto 50000 the 5% otherwise 10%</t>
  </si>
  <si>
    <t>hlookup</t>
  </si>
  <si>
    <t>vlookup and hlookup both are same rules are also same but hlookup for horizontal and vlookup for verticle</t>
  </si>
  <si>
    <t>e106=city</t>
  </si>
  <si>
    <t>find empl name</t>
  </si>
  <si>
    <t>find dep</t>
  </si>
  <si>
    <t>find city</t>
  </si>
  <si>
    <t>find salary</t>
  </si>
  <si>
    <t>find exp</t>
  </si>
  <si>
    <t>find age</t>
  </si>
  <si>
    <t>match gives you position of search value</t>
  </si>
  <si>
    <t>write a func to show a position of monitor</t>
  </si>
  <si>
    <t xml:space="preserve"> desk</t>
  </si>
  <si>
    <t>index</t>
  </si>
  <si>
    <t xml:space="preserve"> index is opposite to match it gives name by the value</t>
  </si>
  <si>
    <t>category-5</t>
  </si>
  <si>
    <t>product name -2</t>
  </si>
  <si>
    <t>show the pos of lenovo</t>
  </si>
  <si>
    <t>show the 5 pos of product name</t>
  </si>
  <si>
    <t>match</t>
  </si>
  <si>
    <t>show the price of wbcame</t>
  </si>
  <si>
    <t>show the supp of the mouse</t>
  </si>
  <si>
    <t>show the price printer</t>
  </si>
  <si>
    <t>show category of webcam</t>
  </si>
  <si>
    <t>Emp_ID</t>
  </si>
  <si>
    <t>Dept</t>
  </si>
  <si>
    <t>Index-Match</t>
  </si>
  <si>
    <t>M</t>
  </si>
  <si>
    <t>E4178</t>
  </si>
  <si>
    <t>E4179</t>
  </si>
  <si>
    <t>E4181</t>
  </si>
  <si>
    <t>E4180</t>
  </si>
  <si>
    <t>E4193</t>
  </si>
  <si>
    <t>F</t>
  </si>
  <si>
    <t>E5284</t>
  </si>
  <si>
    <t>E4182</t>
  </si>
  <si>
    <t>Admin</t>
  </si>
  <si>
    <t>E4183</t>
  </si>
  <si>
    <t>E4184</t>
  </si>
  <si>
    <t>Xlookup</t>
  </si>
  <si>
    <t>E4185</t>
  </si>
  <si>
    <t>E4186</t>
  </si>
  <si>
    <t>E4191</t>
  </si>
  <si>
    <t>E4187</t>
  </si>
  <si>
    <t>E4188</t>
  </si>
  <si>
    <t>E4189</t>
  </si>
  <si>
    <t>Logistics</t>
  </si>
  <si>
    <t>E4190</t>
  </si>
  <si>
    <t>E4192</t>
  </si>
  <si>
    <t>E4194</t>
  </si>
  <si>
    <t>E4195</t>
  </si>
  <si>
    <t>Location</t>
  </si>
  <si>
    <t>Start Date</t>
  </si>
  <si>
    <t>Arjun</t>
  </si>
  <si>
    <t>Operations</t>
  </si>
  <si>
    <t>Kabir</t>
  </si>
  <si>
    <t>Aarav</t>
  </si>
  <si>
    <t>Indore</t>
  </si>
  <si>
    <t>Kavya</t>
  </si>
  <si>
    <t>Rohan</t>
  </si>
  <si>
    <t>Ananya</t>
  </si>
  <si>
    <t>Bhopal</t>
  </si>
  <si>
    <t>Diya</t>
  </si>
  <si>
    <t>Bengaluru</t>
  </si>
  <si>
    <t>Isha</t>
  </si>
  <si>
    <t>Aditya</t>
  </si>
  <si>
    <t>Kunal</t>
  </si>
  <si>
    <t>Meera</t>
  </si>
  <si>
    <t>Priya</t>
  </si>
  <si>
    <t>Sneha</t>
  </si>
  <si>
    <t>Vivaan</t>
  </si>
  <si>
    <t>Riya</t>
  </si>
  <si>
    <t>Rahul</t>
  </si>
  <si>
    <t>Neha</t>
  </si>
  <si>
    <t>Mohit</t>
  </si>
  <si>
    <t>Yash</t>
  </si>
  <si>
    <t>how many male in database</t>
  </si>
  <si>
    <t>show the dep of arjun</t>
  </si>
  <si>
    <t>countif</t>
  </si>
  <si>
    <t>xlookup</t>
  </si>
  <si>
    <t>find out the position of admin dep</t>
  </si>
  <si>
    <t>show which dep at 7position</t>
  </si>
  <si>
    <t>show start date of kavya</t>
  </si>
  <si>
    <t>Customer_ID</t>
  </si>
  <si>
    <t>Customer_Name</t>
  </si>
  <si>
    <t>Product_Category</t>
  </si>
  <si>
    <t>Product</t>
  </si>
  <si>
    <t>Price</t>
  </si>
  <si>
    <t>Quantity</t>
  </si>
  <si>
    <t>Order_Date</t>
  </si>
  <si>
    <t>Payment_Method</t>
  </si>
  <si>
    <t>Loan_Amount</t>
  </si>
  <si>
    <t>Loan_Tenure</t>
  </si>
  <si>
    <t>Interest_Rate</t>
  </si>
  <si>
    <t>Loan_Status</t>
  </si>
  <si>
    <t>C001</t>
  </si>
  <si>
    <t>Table</t>
  </si>
  <si>
    <t>UPI</t>
  </si>
  <si>
    <t>Approved</t>
  </si>
  <si>
    <t>C002</t>
  </si>
  <si>
    <t>Fashion</t>
  </si>
  <si>
    <t>Dress</t>
  </si>
  <si>
    <t>Cash</t>
  </si>
  <si>
    <t>C003</t>
  </si>
  <si>
    <t>Amit</t>
  </si>
  <si>
    <t>Kolkata</t>
  </si>
  <si>
    <t>Beauty</t>
  </si>
  <si>
    <t>Makeup Kit</t>
  </si>
  <si>
    <t>Credit Card</t>
  </si>
  <si>
    <t>C004</t>
  </si>
  <si>
    <t>Grocery</t>
  </si>
  <si>
    <t>Dry Fruits</t>
  </si>
  <si>
    <t>C005</t>
  </si>
  <si>
    <t>Rohit</t>
  </si>
  <si>
    <t>Tablet</t>
  </si>
  <si>
    <t>C006</t>
  </si>
  <si>
    <t>Anjali</t>
  </si>
  <si>
    <t>Noida</t>
  </si>
  <si>
    <t>Handbag</t>
  </si>
  <si>
    <t>Rejected</t>
  </si>
  <si>
    <t>C007</t>
  </si>
  <si>
    <t>Vikas</t>
  </si>
  <si>
    <t>Chair</t>
  </si>
  <si>
    <t>Net Banking</t>
  </si>
  <si>
    <t>C008</t>
  </si>
  <si>
    <t>Pooja</t>
  </si>
  <si>
    <t>Gurgaon</t>
  </si>
  <si>
    <t>Face Wash</t>
  </si>
  <si>
    <t>C009</t>
  </si>
  <si>
    <t>Suresh</t>
  </si>
  <si>
    <t>Nagpur</t>
  </si>
  <si>
    <t>C010</t>
  </si>
  <si>
    <t>Kavita</t>
  </si>
  <si>
    <t>Rice Bag</t>
  </si>
  <si>
    <t>C011</t>
  </si>
  <si>
    <t>C012</t>
  </si>
  <si>
    <t>Simran</t>
  </si>
  <si>
    <t>C013</t>
  </si>
  <si>
    <t>Manish</t>
  </si>
  <si>
    <t>Headphone</t>
  </si>
  <si>
    <t>C014</t>
  </si>
  <si>
    <t>Smartwatch</t>
  </si>
  <si>
    <t>C015</t>
  </si>
  <si>
    <t>Deepak</t>
  </si>
  <si>
    <t>Bed</t>
  </si>
  <si>
    <t>C016</t>
  </si>
  <si>
    <t>Coffee</t>
  </si>
  <si>
    <t>C017</t>
  </si>
  <si>
    <t>Karan</t>
  </si>
  <si>
    <t>Dining Set</t>
  </si>
  <si>
    <t>C018</t>
  </si>
  <si>
    <t>Meena</t>
  </si>
  <si>
    <t>C019</t>
  </si>
  <si>
    <t>Rajesh</t>
  </si>
  <si>
    <t>TV</t>
  </si>
  <si>
    <t>C020</t>
  </si>
  <si>
    <t>Divya</t>
  </si>
  <si>
    <t>Perfume</t>
  </si>
  <si>
    <t>C021</t>
  </si>
  <si>
    <t>Nitin</t>
  </si>
  <si>
    <t>Kurti</t>
  </si>
  <si>
    <t>C022</t>
  </si>
  <si>
    <t>Ayesha</t>
  </si>
  <si>
    <t>C023</t>
  </si>
  <si>
    <t>C024</t>
  </si>
  <si>
    <t>C025</t>
  </si>
  <si>
    <t>Varun</t>
  </si>
  <si>
    <t>Tea</t>
  </si>
  <si>
    <t>C026</t>
  </si>
  <si>
    <t>Shweta</t>
  </si>
  <si>
    <t>C027</t>
  </si>
  <si>
    <t>Akash</t>
  </si>
  <si>
    <t>C028</t>
  </si>
  <si>
    <t>Nisha</t>
  </si>
  <si>
    <t>C029</t>
  </si>
  <si>
    <t>Vivek</t>
  </si>
  <si>
    <t>C030</t>
  </si>
  <si>
    <t>Komal</t>
  </si>
  <si>
    <t>Refrigerator</t>
  </si>
  <si>
    <t>C031</t>
  </si>
  <si>
    <t>Mobile</t>
  </si>
  <si>
    <t>C032</t>
  </si>
  <si>
    <t>Sakshi</t>
  </si>
  <si>
    <t>C033</t>
  </si>
  <si>
    <t>Ravi</t>
  </si>
  <si>
    <t>Shoes</t>
  </si>
  <si>
    <t>C034</t>
  </si>
  <si>
    <t>Tanya</t>
  </si>
  <si>
    <t>C035</t>
  </si>
  <si>
    <t>Harsh</t>
  </si>
  <si>
    <t>C036</t>
  </si>
  <si>
    <t>Muskan</t>
  </si>
  <si>
    <t>C037</t>
  </si>
  <si>
    <t>Abhishek</t>
  </si>
  <si>
    <t>Skincare Kit</t>
  </si>
  <si>
    <t>C038</t>
  </si>
  <si>
    <t>Pallavi</t>
  </si>
  <si>
    <t>C039</t>
  </si>
  <si>
    <t>C040</t>
  </si>
  <si>
    <t>Preeti</t>
  </si>
  <si>
    <t>C041</t>
  </si>
  <si>
    <t>Ankit</t>
  </si>
  <si>
    <t>T-Shirt</t>
  </si>
  <si>
    <t>C042</t>
  </si>
  <si>
    <t>Shruti</t>
  </si>
  <si>
    <t>C043</t>
  </si>
  <si>
    <t>Gaurav</t>
  </si>
  <si>
    <t>C044</t>
  </si>
  <si>
    <t>Rashmi</t>
  </si>
  <si>
    <t>C045</t>
  </si>
  <si>
    <t>C046</t>
  </si>
  <si>
    <t>Payal</t>
  </si>
  <si>
    <t>Cooking Oil</t>
  </si>
  <si>
    <t>C047</t>
  </si>
  <si>
    <t>Sameer</t>
  </si>
  <si>
    <t>C048</t>
  </si>
  <si>
    <t>Kajal</t>
  </si>
  <si>
    <t>C049</t>
  </si>
  <si>
    <t>Aman</t>
  </si>
  <si>
    <t>C050</t>
  </si>
  <si>
    <t>Tanvi</t>
  </si>
  <si>
    <t>vlookup</t>
  </si>
  <si>
    <t>index match</t>
  </si>
  <si>
    <t>customer id</t>
  </si>
  <si>
    <t>payment ode</t>
  </si>
  <si>
    <t>loan amt</t>
  </si>
  <si>
    <t>amit age</t>
  </si>
  <si>
    <t xml:space="preserve">find out price of rice team </t>
  </si>
  <si>
    <t>show  the price of emp name start from r</t>
  </si>
  <si>
    <t>Vikas sharma</t>
  </si>
  <si>
    <t>show sharma product cat.</t>
  </si>
  <si>
    <t xml:space="preserve">* is for only finding half words ex. Sharma is sername not name we now only sername so we find it by putting* before sername in the place of name then e grt it </t>
  </si>
  <si>
    <t>same where we do not know the full  word or something  else we put * for make it easier</t>
  </si>
  <si>
    <t>d name ki city batao</t>
  </si>
  <si>
    <t>find 07 name</t>
  </si>
  <si>
    <t>small letter lower case</t>
  </si>
  <si>
    <t>capital letterupper case</t>
  </si>
  <si>
    <t>proper case</t>
  </si>
  <si>
    <t>left function</t>
  </si>
  <si>
    <t>right func.</t>
  </si>
  <si>
    <t>count letters including space len func.</t>
  </si>
  <si>
    <t xml:space="preserve">trim fun. Remove the spaces from bigning and end </t>
  </si>
  <si>
    <t xml:space="preserve"> Vikas sharma </t>
  </si>
  <si>
    <t xml:space="preserve">concate func for combining </t>
  </si>
  <si>
    <t>name</t>
  </si>
  <si>
    <t>sername</t>
  </si>
  <si>
    <t>sharma</t>
  </si>
  <si>
    <t>vikas</t>
  </si>
  <si>
    <t>fulllname</t>
  </si>
  <si>
    <t>city</t>
  </si>
  <si>
    <t>pcode</t>
  </si>
  <si>
    <t>email</t>
  </si>
  <si>
    <t>password</t>
  </si>
  <si>
    <t>ASHA</t>
  </si>
  <si>
    <t>DELHI</t>
  </si>
  <si>
    <t>ASHA@GMIAL.COM</t>
  </si>
  <si>
    <t>conditon- name in upper case plus 2 start char of city plus 3 last char from pin code</t>
  </si>
  <si>
    <t>mid function</t>
  </si>
  <si>
    <t>find func find the thing which you want is avalaibe or not</t>
  </si>
  <si>
    <t>ABC@GMAIL.COM</t>
  </si>
  <si>
    <t>XYZ@YAHOO.COM</t>
  </si>
  <si>
    <t xml:space="preserve">FIND @ </t>
  </si>
  <si>
    <t>FIND .</t>
  </si>
  <si>
    <t xml:space="preserve">BY MIN AND FIND FUC SHOW COM. NAME </t>
  </si>
  <si>
    <t xml:space="preserve">search func </t>
  </si>
  <si>
    <t>aabnsdbaabhe</t>
  </si>
  <si>
    <t>in find you only get starting no. but in search you get every mid start and end no. where you want</t>
  </si>
  <si>
    <t>mode function</t>
  </si>
  <si>
    <t>abs function</t>
  </si>
  <si>
    <t xml:space="preserve">negative value remove </t>
  </si>
  <si>
    <t>u</t>
  </si>
  <si>
    <t>int function convert into whole no. but in case of negative it will covert in next no.</t>
  </si>
  <si>
    <t xml:space="preserve">now func give date and time </t>
  </si>
  <si>
    <t>today fun gives only date</t>
  </si>
  <si>
    <t>month func</t>
  </si>
  <si>
    <t>day fun</t>
  </si>
  <si>
    <t>year fun</t>
  </si>
  <si>
    <t>date of 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</si>
</sst>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\₹#,##0"/>
    <numFmt numFmtId="165" formatCode="dd\-mm\-yyyy"/>
    <numFmt numFmtId="166" formatCode="0.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name val="Calibri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/>
      <top/>
      <bottom style="thin">
        <color rgb="FFB7B7B7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4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14" fontId="3" fillId="0" borderId="1" xfId="0" applyNumberFormat="1" applyFont="1" applyBorder="1" applyAlignment="1">
      <alignment horizontal="right" wrapText="1"/>
    </xf>
    <xf numFmtId="0" fontId="1" fillId="0" borderId="2" xfId="0" applyFont="1" applyBorder="1" applyAlignment="1">
      <alignment wrapText="1"/>
    </xf>
    <xf numFmtId="0" fontId="1" fillId="0" borderId="2" xfId="0" applyFont="1" applyBorder="1"/>
    <xf numFmtId="0" fontId="1" fillId="0" borderId="0" xfId="0" applyFont="1" applyAlignment="1">
      <alignment wrapText="1"/>
    </xf>
    <xf numFmtId="0" fontId="0" fillId="0" borderId="3" xfId="0" applyBorder="1"/>
    <xf numFmtId="0" fontId="1" fillId="0" borderId="3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5" xfId="0" applyFont="1" applyBorder="1"/>
    <xf numFmtId="0" fontId="1" fillId="0" borderId="4" xfId="0" applyFont="1" applyBorder="1"/>
    <xf numFmtId="0" fontId="1" fillId="0" borderId="6" xfId="0" applyFont="1" applyBorder="1"/>
    <xf numFmtId="0" fontId="2" fillId="0" borderId="3" xfId="0" applyFont="1" applyBorder="1" applyAlignment="1">
      <alignment horizontal="center" wrapText="1"/>
    </xf>
    <xf numFmtId="0" fontId="3" fillId="0" borderId="3" xfId="0" applyFont="1" applyBorder="1" applyAlignment="1">
      <alignment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right" vertical="top" wrapText="1"/>
    </xf>
    <xf numFmtId="0" fontId="0" fillId="0" borderId="0" xfId="0" applyAlignment="1">
      <alignment vertical="top"/>
    </xf>
    <xf numFmtId="0" fontId="1" fillId="2" borderId="2" xfId="0" applyFont="1" applyFill="1" applyBorder="1" applyAlignment="1">
      <alignment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4" fillId="5" borderId="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6" borderId="7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4" fillId="0" borderId="3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4" fillId="0" borderId="3" xfId="0" applyFont="1" applyBorder="1" applyAlignment="1">
      <alignment horizontal="center"/>
    </xf>
    <xf numFmtId="166" fontId="0" fillId="0" borderId="0" xfId="0" applyNumberFormat="1"/>
    <xf numFmtId="14" fontId="0" fillId="0" borderId="0" xfId="0" applyNumberFormat="1"/>
    <xf numFmtId="0" fontId="4" fillId="0" borderId="8" xfId="0" applyFont="1" applyFill="1" applyBorder="1" applyAlignment="1">
      <alignment horizontal="center"/>
    </xf>
    <xf numFmtId="0" fontId="6" fillId="0" borderId="0" xfId="0" applyFont="1"/>
    <xf numFmtId="0" fontId="7" fillId="0" borderId="0" xfId="2"/>
    <xf numFmtId="0" fontId="8" fillId="0" borderId="3" xfId="0" applyFont="1" applyBorder="1" applyAlignment="1">
      <alignment horizontal="center"/>
    </xf>
    <xf numFmtId="44" fontId="8" fillId="0" borderId="3" xfId="1" applyFont="1" applyBorder="1" applyAlignment="1">
      <alignment horizontal="center"/>
    </xf>
    <xf numFmtId="164" fontId="6" fillId="0" borderId="0" xfId="0" applyNumberFormat="1" applyFont="1"/>
    <xf numFmtId="22" fontId="0" fillId="0" borderId="0" xfId="0" applyNumberFormat="1"/>
    <xf numFmtId="15" fontId="0" fillId="0" borderId="0" xfId="0" applyNumberForma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XYZ@YAHOO.COM" TargetMode="External"/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mailto:ASHA@GMI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6B92-C658-4D87-9531-C37D6F95429B}">
  <dimension ref="A1:P44"/>
  <sheetViews>
    <sheetView zoomScale="110" zoomScaleNormal="110" workbookViewId="0">
      <selection activeCell="O3" sqref="O3"/>
    </sheetView>
  </sheetViews>
  <sheetFormatPr defaultRowHeight="14.4" x14ac:dyDescent="0.3"/>
  <cols>
    <col min="1" max="1" width="7.5546875" customWidth="1"/>
    <col min="5" max="6" width="11.6640625" customWidth="1"/>
    <col min="8" max="8" width="19.33203125" customWidth="1"/>
    <col min="10" max="10" width="14.77734375" customWidth="1"/>
    <col min="11" max="11" width="20.33203125" customWidth="1"/>
    <col min="15" max="15" width="14.77734375" bestFit="1" customWidth="1"/>
  </cols>
  <sheetData>
    <row r="1" spans="1:16" ht="40.799999999999997" thickBot="1" x14ac:dyDescent="0.35">
      <c r="A1" s="3" t="s">
        <v>35</v>
      </c>
      <c r="B1" s="4" t="s">
        <v>36</v>
      </c>
      <c r="C1" s="3" t="s">
        <v>37</v>
      </c>
      <c r="D1" s="4" t="s">
        <v>38</v>
      </c>
      <c r="E1" s="4" t="s">
        <v>39</v>
      </c>
      <c r="F1" s="4" t="s">
        <v>40</v>
      </c>
      <c r="G1" s="3" t="s">
        <v>41</v>
      </c>
      <c r="H1" s="3" t="s">
        <v>42</v>
      </c>
      <c r="I1" s="4" t="s">
        <v>43</v>
      </c>
      <c r="J1" s="4" t="s">
        <v>44</v>
      </c>
      <c r="K1" s="3" t="s">
        <v>45</v>
      </c>
    </row>
    <row r="2" spans="1:16" ht="27.6" thickBot="1" x14ac:dyDescent="0.35">
      <c r="A2" s="5">
        <v>1001</v>
      </c>
      <c r="B2" s="6" t="s">
        <v>46</v>
      </c>
      <c r="C2" s="5">
        <v>28</v>
      </c>
      <c r="D2" s="6" t="s">
        <v>47</v>
      </c>
      <c r="E2" s="6" t="s">
        <v>48</v>
      </c>
      <c r="F2" s="6" t="s">
        <v>49</v>
      </c>
      <c r="G2" s="5">
        <v>65000</v>
      </c>
      <c r="H2" s="5">
        <v>4</v>
      </c>
      <c r="I2" s="6" t="s">
        <v>50</v>
      </c>
      <c r="J2" s="7">
        <v>44635</v>
      </c>
      <c r="K2" s="5">
        <v>4</v>
      </c>
      <c r="N2" t="s">
        <v>111</v>
      </c>
      <c r="O2" t="s">
        <v>112</v>
      </c>
      <c r="P2" t="s">
        <v>113</v>
      </c>
    </row>
    <row r="3" spans="1:16" ht="27.6" thickBot="1" x14ac:dyDescent="0.35">
      <c r="A3" s="5">
        <v>1002</v>
      </c>
      <c r="B3" s="6" t="s">
        <v>51</v>
      </c>
      <c r="C3" s="5">
        <v>32</v>
      </c>
      <c r="D3" s="6" t="s">
        <v>52</v>
      </c>
      <c r="E3" s="6" t="s">
        <v>53</v>
      </c>
      <c r="F3" s="6" t="s">
        <v>54</v>
      </c>
      <c r="G3" s="5">
        <v>85000</v>
      </c>
      <c r="H3" s="5">
        <v>8</v>
      </c>
      <c r="I3" s="6" t="s">
        <v>55</v>
      </c>
      <c r="J3" s="7">
        <v>43301</v>
      </c>
      <c r="K3" s="5">
        <v>5</v>
      </c>
      <c r="M3">
        <v>1003</v>
      </c>
      <c r="N3">
        <f>_xlfn.XLOOKUP(A4,A1:A30,C1:C30,FALSE)</f>
        <v>26</v>
      </c>
      <c r="O3" t="str">
        <f>_xlfn.XLOOKUP(A4,A:A,F:F,FALSE)</f>
        <v>Accountant</v>
      </c>
      <c r="P3">
        <f>VLOOKUP(A4,A1:K30,7,FALSE)</f>
        <v>52000</v>
      </c>
    </row>
    <row r="4" spans="1:16" ht="27.6" thickBot="1" x14ac:dyDescent="0.35">
      <c r="A4" s="5">
        <v>1003</v>
      </c>
      <c r="B4" s="6" t="s">
        <v>56</v>
      </c>
      <c r="C4" s="5">
        <v>26</v>
      </c>
      <c r="D4" s="6" t="s">
        <v>47</v>
      </c>
      <c r="E4" s="6" t="s">
        <v>57</v>
      </c>
      <c r="F4" s="6" t="s">
        <v>58</v>
      </c>
      <c r="G4" s="5">
        <v>52000</v>
      </c>
      <c r="H4" s="5">
        <v>3</v>
      </c>
      <c r="I4" s="6" t="s">
        <v>50</v>
      </c>
      <c r="J4" s="7">
        <v>44936</v>
      </c>
      <c r="K4" s="5">
        <v>3</v>
      </c>
      <c r="M4">
        <v>1007</v>
      </c>
      <c r="N4">
        <f>VLOOKUP(A8,A1:K30,3,FALSE)</f>
        <v>31</v>
      </c>
      <c r="O4" t="str">
        <f>_xlfn.XLOOKUP(A8,A:A,F:F,FALSE)</f>
        <v>Team Lead</v>
      </c>
      <c r="P4">
        <f>VLOOKUP(A8,A2:K31,7,FALSE)</f>
        <v>98000</v>
      </c>
    </row>
    <row r="5" spans="1:16" ht="27.6" thickBot="1" x14ac:dyDescent="0.35">
      <c r="A5" s="5">
        <v>1004</v>
      </c>
      <c r="B5" s="6" t="s">
        <v>59</v>
      </c>
      <c r="C5" s="5">
        <v>30</v>
      </c>
      <c r="D5" s="6" t="s">
        <v>52</v>
      </c>
      <c r="E5" s="6" t="s">
        <v>48</v>
      </c>
      <c r="F5" s="6" t="s">
        <v>60</v>
      </c>
      <c r="G5" s="5">
        <v>72000</v>
      </c>
      <c r="H5" s="5">
        <v>5</v>
      </c>
      <c r="I5" s="6" t="s">
        <v>61</v>
      </c>
      <c r="J5" s="7">
        <v>44328</v>
      </c>
      <c r="K5" s="5">
        <v>4</v>
      </c>
      <c r="M5">
        <v>1006</v>
      </c>
      <c r="N5">
        <f>VLOOKUP(A7,A2:K31,3,FALSE)</f>
        <v>27</v>
      </c>
      <c r="O5" t="str">
        <f>_xlfn.XLOOKUP(A7,A:A,F:F,FALSE)</f>
        <v>Executive</v>
      </c>
      <c r="P5">
        <f>VLOOKUP(A7,A3:K32,7,FALSE)</f>
        <v>48000</v>
      </c>
    </row>
    <row r="6" spans="1:16" ht="27.6" thickBot="1" x14ac:dyDescent="0.35">
      <c r="A6" s="5">
        <v>1005</v>
      </c>
      <c r="B6" s="6" t="s">
        <v>62</v>
      </c>
      <c r="C6" s="5">
        <v>35</v>
      </c>
      <c r="D6" s="6" t="s">
        <v>47</v>
      </c>
      <c r="E6" s="6" t="s">
        <v>63</v>
      </c>
      <c r="F6" s="6" t="s">
        <v>64</v>
      </c>
      <c r="G6" s="5">
        <v>90000</v>
      </c>
      <c r="H6" s="5">
        <v>10</v>
      </c>
      <c r="I6" s="6" t="s">
        <v>65</v>
      </c>
      <c r="J6" s="7">
        <v>42607</v>
      </c>
      <c r="K6" s="5">
        <v>5</v>
      </c>
      <c r="M6">
        <v>1008</v>
      </c>
      <c r="N6">
        <f>VLOOKUP(A9,A3:K32,3,FALSE)</f>
        <v>29</v>
      </c>
      <c r="O6" t="str">
        <f>_xlfn.XLOOKUP(A9,A:A,F:F,FALSE)</f>
        <v>Financial Analyst</v>
      </c>
      <c r="P6">
        <f>VLOOKUP(A9,A4:K33,7,FALSE)</f>
        <v>68000</v>
      </c>
    </row>
    <row r="7" spans="1:16" ht="27.6" thickBot="1" x14ac:dyDescent="0.35">
      <c r="A7" s="5">
        <v>1006</v>
      </c>
      <c r="B7" s="6" t="s">
        <v>66</v>
      </c>
      <c r="C7" s="5">
        <v>27</v>
      </c>
      <c r="D7" s="6" t="s">
        <v>52</v>
      </c>
      <c r="E7" s="6" t="s">
        <v>67</v>
      </c>
      <c r="F7" s="6" t="s">
        <v>68</v>
      </c>
      <c r="G7" s="5">
        <v>48000</v>
      </c>
      <c r="H7" s="5">
        <v>2</v>
      </c>
      <c r="I7" s="6" t="s">
        <v>50</v>
      </c>
      <c r="J7" s="7">
        <v>45340</v>
      </c>
      <c r="K7" s="5">
        <v>3</v>
      </c>
    </row>
    <row r="8" spans="1:16" ht="27.6" thickBot="1" x14ac:dyDescent="0.35">
      <c r="A8" s="5">
        <v>1007</v>
      </c>
      <c r="B8" s="6" t="s">
        <v>69</v>
      </c>
      <c r="C8" s="5">
        <v>31</v>
      </c>
      <c r="D8" s="6" t="s">
        <v>47</v>
      </c>
      <c r="E8" s="6" t="s">
        <v>48</v>
      </c>
      <c r="F8" s="6" t="s">
        <v>70</v>
      </c>
      <c r="G8" s="5">
        <v>98000</v>
      </c>
      <c r="H8" s="5">
        <v>9</v>
      </c>
      <c r="I8" s="6" t="s">
        <v>71</v>
      </c>
      <c r="J8" s="7">
        <v>43044</v>
      </c>
      <c r="K8" s="5">
        <v>4</v>
      </c>
    </row>
    <row r="9" spans="1:16" ht="27.6" thickBot="1" x14ac:dyDescent="0.35">
      <c r="A9" s="5">
        <v>1008</v>
      </c>
      <c r="B9" s="6" t="s">
        <v>72</v>
      </c>
      <c r="C9" s="5">
        <v>29</v>
      </c>
      <c r="D9" s="6" t="s">
        <v>52</v>
      </c>
      <c r="E9" s="6" t="s">
        <v>57</v>
      </c>
      <c r="F9" s="6" t="s">
        <v>73</v>
      </c>
      <c r="G9" s="5">
        <v>68000</v>
      </c>
      <c r="H9" s="5">
        <v>5</v>
      </c>
      <c r="I9" s="6" t="s">
        <v>61</v>
      </c>
      <c r="J9" s="7">
        <v>44453</v>
      </c>
      <c r="K9" s="5">
        <v>4</v>
      </c>
    </row>
    <row r="10" spans="1:16" ht="27.6" thickBot="1" x14ac:dyDescent="0.35">
      <c r="A10" s="5">
        <v>1009</v>
      </c>
      <c r="B10" s="6" t="s">
        <v>74</v>
      </c>
      <c r="C10" s="5">
        <v>25</v>
      </c>
      <c r="D10" s="6" t="s">
        <v>47</v>
      </c>
      <c r="E10" s="6" t="s">
        <v>63</v>
      </c>
      <c r="F10" s="6" t="s">
        <v>75</v>
      </c>
      <c r="G10" s="5">
        <v>45000</v>
      </c>
      <c r="H10" s="5">
        <v>2</v>
      </c>
      <c r="I10" s="6" t="s">
        <v>55</v>
      </c>
      <c r="J10" s="7">
        <v>45313</v>
      </c>
      <c r="K10" s="5">
        <v>3</v>
      </c>
    </row>
    <row r="11" spans="1:16" ht="27.6" thickBot="1" x14ac:dyDescent="0.35">
      <c r="A11" s="5">
        <v>1010</v>
      </c>
      <c r="B11" s="6" t="s">
        <v>76</v>
      </c>
      <c r="C11" s="5">
        <v>34</v>
      </c>
      <c r="D11" s="6" t="s">
        <v>52</v>
      </c>
      <c r="E11" s="6" t="s">
        <v>53</v>
      </c>
      <c r="F11" s="6" t="s">
        <v>77</v>
      </c>
      <c r="G11" s="5">
        <v>58000</v>
      </c>
      <c r="H11" s="5">
        <v>6</v>
      </c>
      <c r="I11" s="6" t="s">
        <v>50</v>
      </c>
      <c r="J11" s="7">
        <v>43993</v>
      </c>
      <c r="K11" s="5">
        <v>4</v>
      </c>
    </row>
    <row r="12" spans="1:16" ht="27.6" thickBot="1" x14ac:dyDescent="0.35">
      <c r="A12" s="5">
        <v>1011</v>
      </c>
      <c r="B12" s="6" t="s">
        <v>78</v>
      </c>
      <c r="C12" s="5">
        <v>29</v>
      </c>
      <c r="D12" s="6" t="s">
        <v>47</v>
      </c>
      <c r="E12" s="6" t="s">
        <v>48</v>
      </c>
      <c r="F12" s="6" t="s">
        <v>49</v>
      </c>
      <c r="G12" s="5">
        <v>70000</v>
      </c>
      <c r="H12" s="5">
        <v>5</v>
      </c>
      <c r="I12" s="6" t="s">
        <v>79</v>
      </c>
      <c r="J12" s="7">
        <v>44263</v>
      </c>
      <c r="K12" s="5">
        <v>5</v>
      </c>
    </row>
    <row r="13" spans="1:16" ht="27.6" thickBot="1" x14ac:dyDescent="0.35">
      <c r="A13" s="5">
        <v>1012</v>
      </c>
      <c r="B13" s="6" t="s">
        <v>80</v>
      </c>
      <c r="C13" s="5">
        <v>38</v>
      </c>
      <c r="D13" s="6" t="s">
        <v>52</v>
      </c>
      <c r="E13" s="6" t="s">
        <v>57</v>
      </c>
      <c r="F13" s="6" t="s">
        <v>81</v>
      </c>
      <c r="G13" s="5">
        <v>105000</v>
      </c>
      <c r="H13" s="5">
        <v>12</v>
      </c>
      <c r="I13" s="6" t="s">
        <v>65</v>
      </c>
      <c r="J13" s="7">
        <v>41746</v>
      </c>
      <c r="K13" s="5">
        <v>5</v>
      </c>
    </row>
    <row r="14" spans="1:16" ht="27.6" thickBot="1" x14ac:dyDescent="0.35">
      <c r="A14" s="5">
        <v>1013</v>
      </c>
      <c r="B14" s="6" t="s">
        <v>82</v>
      </c>
      <c r="C14" s="5">
        <v>27</v>
      </c>
      <c r="D14" s="6" t="s">
        <v>47</v>
      </c>
      <c r="E14" s="6" t="s">
        <v>67</v>
      </c>
      <c r="F14" s="6" t="s">
        <v>68</v>
      </c>
      <c r="G14" s="5">
        <v>50000</v>
      </c>
      <c r="H14" s="5">
        <v>3</v>
      </c>
      <c r="I14" s="6" t="s">
        <v>83</v>
      </c>
      <c r="J14" s="7">
        <v>45108</v>
      </c>
      <c r="K14" s="5">
        <v>3</v>
      </c>
    </row>
    <row r="15" spans="1:16" ht="27.6" thickBot="1" x14ac:dyDescent="0.35">
      <c r="A15" s="5">
        <v>1014</v>
      </c>
      <c r="B15" s="6" t="s">
        <v>84</v>
      </c>
      <c r="C15" s="5">
        <v>33</v>
      </c>
      <c r="D15" s="6" t="s">
        <v>52</v>
      </c>
      <c r="E15" s="6" t="s">
        <v>48</v>
      </c>
      <c r="F15" s="6" t="s">
        <v>85</v>
      </c>
      <c r="G15" s="5">
        <v>110000</v>
      </c>
      <c r="H15" s="5">
        <v>11</v>
      </c>
      <c r="I15" s="6" t="s">
        <v>61</v>
      </c>
      <c r="J15" s="7">
        <v>42296</v>
      </c>
      <c r="K15" s="5">
        <v>5</v>
      </c>
    </row>
    <row r="16" spans="1:16" ht="27.6" thickBot="1" x14ac:dyDescent="0.35">
      <c r="A16" s="5">
        <v>1015</v>
      </c>
      <c r="B16" s="6" t="s">
        <v>86</v>
      </c>
      <c r="C16" s="5">
        <v>30</v>
      </c>
      <c r="D16" s="6" t="s">
        <v>47</v>
      </c>
      <c r="E16" s="6" t="s">
        <v>63</v>
      </c>
      <c r="F16" s="6" t="s">
        <v>75</v>
      </c>
      <c r="G16" s="5">
        <v>47000</v>
      </c>
      <c r="H16" s="5">
        <v>4</v>
      </c>
      <c r="I16" s="6" t="s">
        <v>87</v>
      </c>
      <c r="J16" s="7">
        <v>44900</v>
      </c>
      <c r="K16" s="5">
        <v>3</v>
      </c>
      <c r="M16" t="s">
        <v>126</v>
      </c>
    </row>
    <row r="17" spans="1:13" ht="27.6" thickBot="1" x14ac:dyDescent="0.35">
      <c r="A17" s="5">
        <v>1016</v>
      </c>
      <c r="B17" s="6" t="s">
        <v>88</v>
      </c>
      <c r="C17" s="5">
        <v>26</v>
      </c>
      <c r="D17" s="6" t="s">
        <v>52</v>
      </c>
      <c r="E17" s="6" t="s">
        <v>53</v>
      </c>
      <c r="F17" s="6" t="s">
        <v>89</v>
      </c>
      <c r="G17" s="5">
        <v>46000</v>
      </c>
      <c r="H17" s="5">
        <v>2</v>
      </c>
      <c r="I17" s="6" t="s">
        <v>50</v>
      </c>
      <c r="J17" s="7">
        <v>45363</v>
      </c>
      <c r="K17" s="5">
        <v>4</v>
      </c>
      <c r="M17" t="s">
        <v>127</v>
      </c>
    </row>
    <row r="18" spans="1:13" ht="27.6" thickBot="1" x14ac:dyDescent="0.35">
      <c r="A18" s="5">
        <v>1017</v>
      </c>
      <c r="B18" s="6" t="s">
        <v>90</v>
      </c>
      <c r="C18" s="5">
        <v>40</v>
      </c>
      <c r="D18" s="6" t="s">
        <v>47</v>
      </c>
      <c r="E18" s="6" t="s">
        <v>48</v>
      </c>
      <c r="F18" s="6" t="s">
        <v>91</v>
      </c>
      <c r="G18" s="5">
        <v>125000</v>
      </c>
      <c r="H18" s="5">
        <v>15</v>
      </c>
      <c r="I18" s="6" t="s">
        <v>71</v>
      </c>
      <c r="J18" s="7">
        <v>40595</v>
      </c>
      <c r="K18" s="5">
        <v>5</v>
      </c>
      <c r="M18" t="s">
        <v>128</v>
      </c>
    </row>
    <row r="19" spans="1:13" ht="27.6" thickBot="1" x14ac:dyDescent="0.35">
      <c r="A19" s="5">
        <v>1018</v>
      </c>
      <c r="B19" s="6" t="s">
        <v>92</v>
      </c>
      <c r="C19" s="5">
        <v>31</v>
      </c>
      <c r="D19" s="6" t="s">
        <v>52</v>
      </c>
      <c r="E19" s="6" t="s">
        <v>67</v>
      </c>
      <c r="F19" s="6" t="s">
        <v>93</v>
      </c>
      <c r="G19" s="5">
        <v>92000</v>
      </c>
      <c r="H19" s="5">
        <v>8</v>
      </c>
      <c r="I19" s="6" t="s">
        <v>55</v>
      </c>
      <c r="J19" s="7">
        <v>43353</v>
      </c>
      <c r="K19" s="5">
        <v>4</v>
      </c>
    </row>
    <row r="20" spans="1:13" ht="27.6" thickBot="1" x14ac:dyDescent="0.35">
      <c r="A20" s="5">
        <v>1019</v>
      </c>
      <c r="B20" s="6" t="s">
        <v>94</v>
      </c>
      <c r="C20" s="5">
        <v>28</v>
      </c>
      <c r="D20" s="6" t="s">
        <v>47</v>
      </c>
      <c r="E20" s="6" t="s">
        <v>57</v>
      </c>
      <c r="F20" s="6" t="s">
        <v>58</v>
      </c>
      <c r="G20" s="5">
        <v>55000</v>
      </c>
      <c r="H20" s="5">
        <v>4</v>
      </c>
      <c r="I20" s="6" t="s">
        <v>79</v>
      </c>
      <c r="J20" s="7">
        <v>44728</v>
      </c>
      <c r="K20" s="5">
        <v>3</v>
      </c>
    </row>
    <row r="21" spans="1:13" ht="27.6" thickBot="1" x14ac:dyDescent="0.35">
      <c r="A21" s="5">
        <v>1020</v>
      </c>
      <c r="B21" s="6" t="s">
        <v>95</v>
      </c>
      <c r="C21" s="5">
        <v>29</v>
      </c>
      <c r="D21" s="6" t="s">
        <v>52</v>
      </c>
      <c r="E21" s="6" t="s">
        <v>63</v>
      </c>
      <c r="F21" s="6" t="s">
        <v>75</v>
      </c>
      <c r="G21" s="5">
        <v>49000</v>
      </c>
      <c r="H21" s="5">
        <v>3</v>
      </c>
      <c r="I21" s="6" t="s">
        <v>96</v>
      </c>
      <c r="J21" s="7">
        <v>45041</v>
      </c>
      <c r="K21" s="5">
        <v>4</v>
      </c>
    </row>
    <row r="22" spans="1:13" ht="27.6" thickBot="1" x14ac:dyDescent="0.35">
      <c r="A22" s="5">
        <v>1021</v>
      </c>
      <c r="B22" s="6" t="s">
        <v>97</v>
      </c>
      <c r="C22" s="5">
        <v>36</v>
      </c>
      <c r="D22" s="6" t="s">
        <v>47</v>
      </c>
      <c r="E22" s="6" t="s">
        <v>48</v>
      </c>
      <c r="F22" s="6" t="s">
        <v>98</v>
      </c>
      <c r="G22" s="5">
        <v>135000</v>
      </c>
      <c r="H22" s="5">
        <v>13</v>
      </c>
      <c r="I22" s="6" t="s">
        <v>65</v>
      </c>
      <c r="J22" s="7">
        <v>41495</v>
      </c>
      <c r="K22" s="5">
        <v>5</v>
      </c>
    </row>
    <row r="23" spans="1:13" ht="27.6" thickBot="1" x14ac:dyDescent="0.35">
      <c r="A23" s="5">
        <v>1022</v>
      </c>
      <c r="B23" s="6" t="s">
        <v>99</v>
      </c>
      <c r="C23" s="5">
        <v>27</v>
      </c>
      <c r="D23" s="6" t="s">
        <v>52</v>
      </c>
      <c r="E23" s="6" t="s">
        <v>53</v>
      </c>
      <c r="F23" s="6" t="s">
        <v>77</v>
      </c>
      <c r="G23" s="5">
        <v>54000</v>
      </c>
      <c r="H23" s="5">
        <v>3</v>
      </c>
      <c r="I23" s="6" t="s">
        <v>100</v>
      </c>
      <c r="J23" s="7">
        <v>44971</v>
      </c>
      <c r="K23" s="5">
        <v>3</v>
      </c>
    </row>
    <row r="24" spans="1:13" ht="27.6" thickBot="1" x14ac:dyDescent="0.35">
      <c r="A24" s="5">
        <v>1023</v>
      </c>
      <c r="B24" s="6" t="s">
        <v>101</v>
      </c>
      <c r="C24" s="5">
        <v>32</v>
      </c>
      <c r="D24" s="6" t="s">
        <v>47</v>
      </c>
      <c r="E24" s="6" t="s">
        <v>63</v>
      </c>
      <c r="F24" s="6" t="s">
        <v>64</v>
      </c>
      <c r="G24" s="5">
        <v>88000</v>
      </c>
      <c r="H24" s="5">
        <v>9</v>
      </c>
      <c r="I24" s="6" t="s">
        <v>71</v>
      </c>
      <c r="J24" s="7">
        <v>42877</v>
      </c>
      <c r="K24" s="5">
        <v>4</v>
      </c>
    </row>
    <row r="25" spans="1:13" ht="27.6" thickBot="1" x14ac:dyDescent="0.35">
      <c r="A25" s="5">
        <v>1024</v>
      </c>
      <c r="B25" s="6" t="s">
        <v>102</v>
      </c>
      <c r="C25" s="5">
        <v>30</v>
      </c>
      <c r="D25" s="6" t="s">
        <v>52</v>
      </c>
      <c r="E25" s="6" t="s">
        <v>57</v>
      </c>
      <c r="F25" s="6" t="s">
        <v>73</v>
      </c>
      <c r="G25" s="5">
        <v>65000</v>
      </c>
      <c r="H25" s="5">
        <v>5</v>
      </c>
      <c r="I25" s="6" t="s">
        <v>103</v>
      </c>
      <c r="J25" s="7">
        <v>44503</v>
      </c>
      <c r="K25" s="5">
        <v>4</v>
      </c>
    </row>
    <row r="26" spans="1:13" ht="27.6" thickBot="1" x14ac:dyDescent="0.35">
      <c r="A26" s="5">
        <v>1025</v>
      </c>
      <c r="B26" s="6" t="s">
        <v>104</v>
      </c>
      <c r="C26" s="5">
        <v>42</v>
      </c>
      <c r="D26" s="6" t="s">
        <v>47</v>
      </c>
      <c r="E26" s="6" t="s">
        <v>48</v>
      </c>
      <c r="F26" s="6" t="s">
        <v>105</v>
      </c>
      <c r="G26" s="5">
        <v>145000</v>
      </c>
      <c r="H26" s="5">
        <v>18</v>
      </c>
      <c r="I26" s="6" t="s">
        <v>50</v>
      </c>
      <c r="J26" s="7">
        <v>39462</v>
      </c>
      <c r="K26" s="5">
        <v>5</v>
      </c>
    </row>
    <row r="27" spans="1:13" ht="27.6" thickBot="1" x14ac:dyDescent="0.35">
      <c r="A27" s="5">
        <v>1026</v>
      </c>
      <c r="B27" s="6" t="s">
        <v>106</v>
      </c>
      <c r="C27" s="5">
        <v>25</v>
      </c>
      <c r="D27" s="6" t="s">
        <v>52</v>
      </c>
      <c r="E27" s="6" t="s">
        <v>67</v>
      </c>
      <c r="F27" s="6" t="s">
        <v>68</v>
      </c>
      <c r="G27" s="5">
        <v>44000</v>
      </c>
      <c r="H27" s="5">
        <v>1</v>
      </c>
      <c r="I27" s="6" t="s">
        <v>83</v>
      </c>
      <c r="J27" s="7">
        <v>45667</v>
      </c>
      <c r="K27" s="5">
        <v>3</v>
      </c>
    </row>
    <row r="28" spans="1:13" ht="27.6" thickBot="1" x14ac:dyDescent="0.35">
      <c r="A28" s="5">
        <v>1027</v>
      </c>
      <c r="B28" s="6" t="s">
        <v>107</v>
      </c>
      <c r="C28" s="5">
        <v>34</v>
      </c>
      <c r="D28" s="6" t="s">
        <v>47</v>
      </c>
      <c r="E28" s="6" t="s">
        <v>57</v>
      </c>
      <c r="F28" s="6" t="s">
        <v>108</v>
      </c>
      <c r="G28" s="5">
        <v>78000</v>
      </c>
      <c r="H28" s="5">
        <v>8</v>
      </c>
      <c r="I28" s="6" t="s">
        <v>50</v>
      </c>
      <c r="J28" s="7">
        <v>43446</v>
      </c>
      <c r="K28" s="5">
        <v>4</v>
      </c>
    </row>
    <row r="29" spans="1:13" ht="27.6" thickBot="1" x14ac:dyDescent="0.35">
      <c r="A29" s="5">
        <v>1028</v>
      </c>
      <c r="B29" s="6" t="s">
        <v>109</v>
      </c>
      <c r="C29" s="5">
        <v>28</v>
      </c>
      <c r="D29" s="6" t="s">
        <v>52</v>
      </c>
      <c r="E29" s="6" t="s">
        <v>48</v>
      </c>
      <c r="F29" s="6" t="s">
        <v>60</v>
      </c>
      <c r="G29" s="5">
        <v>69000</v>
      </c>
      <c r="H29" s="5">
        <v>4</v>
      </c>
      <c r="I29" s="6" t="s">
        <v>55</v>
      </c>
      <c r="J29" s="7">
        <v>44699</v>
      </c>
      <c r="K29" s="5">
        <v>4</v>
      </c>
    </row>
    <row r="30" spans="1:13" ht="27.6" thickBot="1" x14ac:dyDescent="0.35">
      <c r="A30" s="5">
        <v>1029</v>
      </c>
      <c r="B30" s="6" t="s">
        <v>110</v>
      </c>
      <c r="C30" s="5">
        <v>37</v>
      </c>
      <c r="D30" s="6" t="s">
        <v>47</v>
      </c>
      <c r="E30" s="6" t="s">
        <v>63</v>
      </c>
      <c r="F30" s="6" t="s">
        <v>64</v>
      </c>
      <c r="G30" s="5">
        <v>95000</v>
      </c>
      <c r="H30" s="5">
        <v>11</v>
      </c>
      <c r="I30" s="6" t="s">
        <v>79</v>
      </c>
      <c r="J30" s="7">
        <v>42185</v>
      </c>
      <c r="K30" s="6"/>
    </row>
    <row r="34" spans="1:3" ht="27" x14ac:dyDescent="0.3">
      <c r="A34" s="18" t="s">
        <v>36</v>
      </c>
      <c r="B34" s="18" t="s">
        <v>43</v>
      </c>
      <c r="C34" s="18" t="s">
        <v>44</v>
      </c>
    </row>
    <row r="35" spans="1:3" ht="27" x14ac:dyDescent="0.3">
      <c r="A35" s="19" t="s">
        <v>46</v>
      </c>
      <c r="B35" s="11"/>
      <c r="C35" s="11"/>
    </row>
    <row r="36" spans="1:3" ht="27" x14ac:dyDescent="0.3">
      <c r="A36" s="19" t="s">
        <v>51</v>
      </c>
      <c r="B36" s="11"/>
      <c r="C36" s="11"/>
    </row>
    <row r="37" spans="1:3" ht="27" x14ac:dyDescent="0.3">
      <c r="A37" s="19" t="s">
        <v>56</v>
      </c>
      <c r="B37" s="11"/>
      <c r="C37" s="11"/>
    </row>
    <row r="38" spans="1:3" ht="27" x14ac:dyDescent="0.3">
      <c r="A38" s="19" t="s">
        <v>59</v>
      </c>
      <c r="B38" s="11"/>
      <c r="C38" s="11"/>
    </row>
    <row r="39" spans="1:3" ht="27" x14ac:dyDescent="0.3">
      <c r="A39" s="19" t="s">
        <v>62</v>
      </c>
      <c r="B39" s="11"/>
      <c r="C39" s="11"/>
    </row>
    <row r="40" spans="1:3" ht="27" x14ac:dyDescent="0.3">
      <c r="A40" s="19" t="s">
        <v>66</v>
      </c>
      <c r="B40" s="11"/>
      <c r="C40" s="11"/>
    </row>
    <row r="41" spans="1:3" ht="27" x14ac:dyDescent="0.3">
      <c r="A41" s="19" t="s">
        <v>69</v>
      </c>
      <c r="B41" s="11"/>
      <c r="C41" s="11"/>
    </row>
    <row r="42" spans="1:3" ht="27" x14ac:dyDescent="0.3">
      <c r="A42" s="19" t="s">
        <v>72</v>
      </c>
      <c r="B42" s="11"/>
      <c r="C42" s="11"/>
    </row>
    <row r="43" spans="1:3" ht="40.200000000000003" x14ac:dyDescent="0.3">
      <c r="A43" s="19" t="s">
        <v>74</v>
      </c>
      <c r="B43" s="11"/>
      <c r="C43" s="11"/>
    </row>
    <row r="44" spans="1:3" ht="27" x14ac:dyDescent="0.3">
      <c r="A44" s="19" t="s">
        <v>76</v>
      </c>
      <c r="B44" s="11"/>
      <c r="C44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1E9D4-C15F-486E-ABDA-1387B1C50A4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BABCE-2A2C-40AF-B97B-BDE9BE813ADB}">
  <dimension ref="A1:G57"/>
  <sheetViews>
    <sheetView zoomScaleNormal="100" workbookViewId="0">
      <selection activeCell="C17" sqref="C17"/>
    </sheetView>
  </sheetViews>
  <sheetFormatPr defaultRowHeight="14.4" x14ac:dyDescent="0.3"/>
  <cols>
    <col min="1" max="1" width="15.88671875" customWidth="1"/>
    <col min="2" max="2" width="19" customWidth="1"/>
    <col min="3" max="3" width="79" customWidth="1"/>
    <col min="4" max="4" width="13.109375" bestFit="1" customWidth="1"/>
    <col min="5" max="5" width="10.44140625" bestFit="1" customWidth="1"/>
    <col min="6" max="6" width="11.21875" bestFit="1" customWidth="1"/>
    <col min="7" max="7" width="26.88671875" bestFit="1" customWidth="1"/>
    <col min="8" max="8" width="11.33203125" bestFit="1" customWidth="1"/>
  </cols>
  <sheetData>
    <row r="1" spans="1:7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ht="15" thickBot="1" x14ac:dyDescent="0.35">
      <c r="A2" s="1" t="s">
        <v>5</v>
      </c>
      <c r="B2" s="1" t="s">
        <v>6</v>
      </c>
      <c r="C2" s="1" t="s">
        <v>7</v>
      </c>
      <c r="D2" s="2">
        <v>55000</v>
      </c>
      <c r="E2" s="1" t="s">
        <v>8</v>
      </c>
    </row>
    <row r="3" spans="1:7" ht="15" thickBot="1" x14ac:dyDescent="0.35">
      <c r="A3" s="1" t="s">
        <v>9</v>
      </c>
      <c r="B3" s="1" t="s">
        <v>10</v>
      </c>
      <c r="C3" s="1" t="s">
        <v>7</v>
      </c>
      <c r="D3" s="2">
        <v>1500</v>
      </c>
      <c r="E3" s="1" t="s">
        <v>11</v>
      </c>
    </row>
    <row r="4" spans="1:7" ht="15" thickBot="1" x14ac:dyDescent="0.35">
      <c r="A4" s="1" t="s">
        <v>12</v>
      </c>
      <c r="B4" s="1" t="s">
        <v>13</v>
      </c>
      <c r="C4" s="1" t="s">
        <v>14</v>
      </c>
      <c r="D4" s="2">
        <v>8500</v>
      </c>
      <c r="E4" s="1" t="s">
        <v>15</v>
      </c>
      <c r="G4" s="9" t="s">
        <v>114</v>
      </c>
    </row>
    <row r="5" spans="1:7" ht="15" thickBot="1" x14ac:dyDescent="0.35">
      <c r="A5" s="1" t="s">
        <v>16</v>
      </c>
      <c r="B5" s="1" t="s">
        <v>17</v>
      </c>
      <c r="C5" s="1" t="s">
        <v>14</v>
      </c>
      <c r="D5" s="2">
        <v>12000</v>
      </c>
      <c r="E5" s="1" t="s">
        <v>18</v>
      </c>
      <c r="G5">
        <f>VLOOKUP(A2,A1:E11,4,FALSE)</f>
        <v>55000</v>
      </c>
    </row>
    <row r="6" spans="1:7" ht="15" thickBot="1" x14ac:dyDescent="0.35">
      <c r="A6" s="1" t="s">
        <v>19</v>
      </c>
      <c r="B6" s="1" t="s">
        <v>20</v>
      </c>
      <c r="C6" s="1" t="s">
        <v>7</v>
      </c>
      <c r="D6" s="2">
        <v>800</v>
      </c>
      <c r="E6" s="1" t="s">
        <v>11</v>
      </c>
    </row>
    <row r="7" spans="1:7" ht="15" thickBot="1" x14ac:dyDescent="0.35">
      <c r="A7" s="1" t="s">
        <v>21</v>
      </c>
      <c r="B7" s="1" t="s">
        <v>22</v>
      </c>
      <c r="C7" s="1" t="s">
        <v>7</v>
      </c>
      <c r="D7" s="2">
        <v>15000</v>
      </c>
      <c r="E7" s="1" t="s">
        <v>23</v>
      </c>
      <c r="G7" t="str">
        <f>VLOOKUP(A8,A1:E11,3,FALSE)</f>
        <v>Electronics</v>
      </c>
    </row>
    <row r="8" spans="1:7" ht="15" thickBot="1" x14ac:dyDescent="0.35">
      <c r="A8" s="1" t="s">
        <v>24</v>
      </c>
      <c r="B8" s="1" t="s">
        <v>25</v>
      </c>
      <c r="C8" s="1" t="s">
        <v>7</v>
      </c>
      <c r="D8" s="2">
        <v>18000</v>
      </c>
      <c r="E8" s="1" t="s">
        <v>26</v>
      </c>
    </row>
    <row r="9" spans="1:7" ht="15" thickBot="1" x14ac:dyDescent="0.35">
      <c r="A9" s="1" t="s">
        <v>27</v>
      </c>
      <c r="B9" s="1" t="s">
        <v>28</v>
      </c>
      <c r="C9" s="1" t="s">
        <v>14</v>
      </c>
      <c r="D9" s="2">
        <v>7000</v>
      </c>
      <c r="E9" s="1" t="s">
        <v>18</v>
      </c>
      <c r="G9" s="8" t="s">
        <v>115</v>
      </c>
    </row>
    <row r="10" spans="1:7" ht="15" thickBot="1" x14ac:dyDescent="0.35">
      <c r="A10" s="1" t="s">
        <v>29</v>
      </c>
      <c r="B10" s="1" t="s">
        <v>30</v>
      </c>
      <c r="C10" s="1" t="s">
        <v>7</v>
      </c>
      <c r="D10" s="2">
        <v>2500</v>
      </c>
      <c r="E10" s="1" t="s">
        <v>31</v>
      </c>
      <c r="G10" t="str">
        <f>VLOOKUP(A10,A1:E11,2,FALSE)</f>
        <v>Headphones</v>
      </c>
    </row>
    <row r="11" spans="1:7" ht="15" thickBot="1" x14ac:dyDescent="0.35">
      <c r="A11" s="1" t="s">
        <v>32</v>
      </c>
      <c r="B11" s="1" t="s">
        <v>33</v>
      </c>
      <c r="C11" s="1" t="s">
        <v>7</v>
      </c>
      <c r="D11" s="2">
        <v>4500</v>
      </c>
      <c r="E11" s="1" t="s">
        <v>34</v>
      </c>
    </row>
    <row r="12" spans="1:7" ht="15" thickBot="1" x14ac:dyDescent="0.35"/>
    <row r="13" spans="1:7" ht="15" thickBot="1" x14ac:dyDescent="0.35">
      <c r="A13" s="1" t="s">
        <v>0</v>
      </c>
      <c r="B13" s="1" t="s">
        <v>2</v>
      </c>
      <c r="C13" s="10" t="s">
        <v>116</v>
      </c>
      <c r="G13" t="s">
        <v>117</v>
      </c>
    </row>
    <row r="14" spans="1:7" x14ac:dyDescent="0.3">
      <c r="A14" t="s">
        <v>16</v>
      </c>
      <c r="B14" t="str">
        <f>VLOOKUP(A5,A1:E11,3,FALSE)</f>
        <v>Furniture</v>
      </c>
      <c r="C14" t="str">
        <f>VLOOKUP(A5,A1:E11,5,FALSE)</f>
        <v>IKEA</v>
      </c>
      <c r="G14">
        <f>VLOOKUP(B2,B1:E11,3,FALSE)</f>
        <v>55000</v>
      </c>
    </row>
    <row r="15" spans="1:7" x14ac:dyDescent="0.3">
      <c r="A15" s="10" t="s">
        <v>19</v>
      </c>
      <c r="B15" t="str">
        <f t="shared" ref="B15:B17" si="0">VLOOKUP(A6,A2:E12,3,FALSE)</f>
        <v>Electronics</v>
      </c>
      <c r="C15" t="str">
        <f t="shared" ref="C15:C17" si="1">VLOOKUP(A6,A2:E12,5,FALSE)</f>
        <v>Logitech</v>
      </c>
    </row>
    <row r="16" spans="1:7" x14ac:dyDescent="0.3">
      <c r="A16" t="s">
        <v>29</v>
      </c>
      <c r="B16" t="str">
        <f t="shared" si="0"/>
        <v>Electronics</v>
      </c>
      <c r="C16" t="str">
        <f t="shared" si="1"/>
        <v>Canon</v>
      </c>
      <c r="G16" t="s">
        <v>120</v>
      </c>
    </row>
    <row r="17" spans="1:7" x14ac:dyDescent="0.3">
      <c r="A17" s="10" t="s">
        <v>9</v>
      </c>
      <c r="B17" t="str">
        <f t="shared" si="0"/>
        <v>Electronics</v>
      </c>
      <c r="C17" t="str">
        <f t="shared" si="1"/>
        <v>Dell</v>
      </c>
      <c r="G17" t="str">
        <f>VLOOKUP(B3,B1:E11,4,FALSE)</f>
        <v>Logitech</v>
      </c>
    </row>
    <row r="20" spans="1:7" x14ac:dyDescent="0.3">
      <c r="C20" t="s">
        <v>118</v>
      </c>
    </row>
    <row r="21" spans="1:7" x14ac:dyDescent="0.3">
      <c r="C21" t="s">
        <v>119</v>
      </c>
    </row>
    <row r="23" spans="1:7" x14ac:dyDescent="0.3">
      <c r="A23" s="11" t="s">
        <v>121</v>
      </c>
      <c r="B23" s="11" t="s">
        <v>122</v>
      </c>
      <c r="C23" s="11" t="s">
        <v>116</v>
      </c>
    </row>
    <row r="24" spans="1:7" x14ac:dyDescent="0.3">
      <c r="A24" s="12" t="s">
        <v>13</v>
      </c>
      <c r="B24" s="11">
        <f>VLOOKUP(B4,B1:E11,3,FALSE)</f>
        <v>8500</v>
      </c>
      <c r="C24" s="11" t="str">
        <f>VLOOKUP(B4,B1:E11,4,FALSE)</f>
        <v>FeatherLite</v>
      </c>
    </row>
    <row r="25" spans="1:7" x14ac:dyDescent="0.3">
      <c r="A25" s="12" t="s">
        <v>17</v>
      </c>
      <c r="B25" s="11">
        <f t="shared" ref="B25:B27" si="2">VLOOKUP(B5,B2:E12,3,FALSE)</f>
        <v>12000</v>
      </c>
      <c r="C25" s="11" t="str">
        <f t="shared" ref="C25:C27" si="3">VLOOKUP(B5,B2:E12,4,FALSE)</f>
        <v>IKEA</v>
      </c>
    </row>
    <row r="26" spans="1:7" x14ac:dyDescent="0.3">
      <c r="A26" s="12" t="s">
        <v>20</v>
      </c>
      <c r="B26" s="11">
        <f t="shared" si="2"/>
        <v>800</v>
      </c>
      <c r="C26" s="11" t="str">
        <f t="shared" si="3"/>
        <v>Logitech</v>
      </c>
    </row>
    <row r="27" spans="1:7" x14ac:dyDescent="0.3">
      <c r="A27" s="12" t="s">
        <v>22</v>
      </c>
      <c r="B27" s="11">
        <f t="shared" si="2"/>
        <v>15000</v>
      </c>
      <c r="C27" s="11" t="str">
        <f t="shared" si="3"/>
        <v>Canon</v>
      </c>
    </row>
    <row r="35" spans="1:6" ht="15" thickBot="1" x14ac:dyDescent="0.35"/>
    <row r="36" spans="1:6" ht="58.2" thickBot="1" x14ac:dyDescent="0.35">
      <c r="A36" s="13" t="s">
        <v>2</v>
      </c>
      <c r="B36" s="13" t="s">
        <v>3</v>
      </c>
      <c r="C36" s="13" t="s">
        <v>4</v>
      </c>
      <c r="D36" s="13" t="s">
        <v>1</v>
      </c>
      <c r="E36" s="13" t="s">
        <v>0</v>
      </c>
      <c r="F36" s="8" t="s">
        <v>123</v>
      </c>
    </row>
    <row r="37" spans="1:6" ht="15" thickBot="1" x14ac:dyDescent="0.35">
      <c r="A37" s="13" t="s">
        <v>7</v>
      </c>
      <c r="B37" s="14">
        <v>55000</v>
      </c>
      <c r="C37" s="13" t="s">
        <v>8</v>
      </c>
      <c r="D37" s="13" t="s">
        <v>6</v>
      </c>
      <c r="E37" s="13" t="s">
        <v>5</v>
      </c>
      <c r="F37" t="str">
        <f>_xlfn.XLOOKUP(E45,E36:E46,D36:D46,FALSE)</f>
        <v>Headphones</v>
      </c>
    </row>
    <row r="38" spans="1:6" ht="15" thickBot="1" x14ac:dyDescent="0.35">
      <c r="A38" s="13" t="s">
        <v>7</v>
      </c>
      <c r="B38" s="14">
        <v>1500</v>
      </c>
      <c r="C38" s="13" t="s">
        <v>11</v>
      </c>
      <c r="D38" s="13" t="s">
        <v>10</v>
      </c>
      <c r="E38" s="13" t="s">
        <v>9</v>
      </c>
    </row>
    <row r="39" spans="1:6" ht="15" thickBot="1" x14ac:dyDescent="0.35">
      <c r="A39" s="13" t="s">
        <v>14</v>
      </c>
      <c r="B39" s="14">
        <v>8500</v>
      </c>
      <c r="C39" s="13" t="s">
        <v>15</v>
      </c>
      <c r="D39" s="13" t="s">
        <v>13</v>
      </c>
      <c r="E39" s="13" t="s">
        <v>12</v>
      </c>
    </row>
    <row r="40" spans="1:6" ht="15" thickBot="1" x14ac:dyDescent="0.35">
      <c r="A40" s="13" t="s">
        <v>14</v>
      </c>
      <c r="B40" s="14">
        <v>12000</v>
      </c>
      <c r="C40" s="13" t="s">
        <v>18</v>
      </c>
      <c r="D40" s="13" t="s">
        <v>17</v>
      </c>
      <c r="E40" s="13" t="s">
        <v>16</v>
      </c>
      <c r="F40" s="15" t="s">
        <v>125</v>
      </c>
    </row>
    <row r="41" spans="1:6" ht="15" thickBot="1" x14ac:dyDescent="0.35">
      <c r="A41" s="13" t="s">
        <v>7</v>
      </c>
      <c r="B41" s="14">
        <v>800</v>
      </c>
      <c r="C41" s="13" t="s">
        <v>11</v>
      </c>
      <c r="D41" s="13" t="s">
        <v>20</v>
      </c>
      <c r="E41" s="13" t="s">
        <v>19</v>
      </c>
      <c r="F41">
        <f>_xlfn.XLOOKUP(D41,D36:D46,B36:B46,FALSE)</f>
        <v>800</v>
      </c>
    </row>
    <row r="42" spans="1:6" ht="15" thickBot="1" x14ac:dyDescent="0.35">
      <c r="A42" s="13" t="s">
        <v>7</v>
      </c>
      <c r="B42" s="14">
        <v>15000</v>
      </c>
      <c r="C42" s="13" t="s">
        <v>23</v>
      </c>
      <c r="D42" s="13" t="s">
        <v>22</v>
      </c>
      <c r="E42" s="13" t="s">
        <v>21</v>
      </c>
    </row>
    <row r="43" spans="1:6" ht="15" thickBot="1" x14ac:dyDescent="0.35">
      <c r="A43" s="13" t="s">
        <v>7</v>
      </c>
      <c r="B43" s="14">
        <v>18000</v>
      </c>
      <c r="C43" s="13" t="s">
        <v>26</v>
      </c>
      <c r="D43" s="13" t="s">
        <v>25</v>
      </c>
      <c r="E43" s="13" t="s">
        <v>24</v>
      </c>
    </row>
    <row r="44" spans="1:6" ht="15" thickBot="1" x14ac:dyDescent="0.35">
      <c r="A44" s="13" t="s">
        <v>14</v>
      </c>
      <c r="B44" s="14">
        <v>7000</v>
      </c>
      <c r="C44" s="13" t="s">
        <v>18</v>
      </c>
      <c r="D44" s="13" t="s">
        <v>28</v>
      </c>
      <c r="E44" s="13" t="s">
        <v>27</v>
      </c>
    </row>
    <row r="45" spans="1:6" ht="15" thickBot="1" x14ac:dyDescent="0.35">
      <c r="A45" s="13" t="s">
        <v>7</v>
      </c>
      <c r="B45" s="14">
        <v>2500</v>
      </c>
      <c r="C45" s="13" t="s">
        <v>31</v>
      </c>
      <c r="D45" s="13" t="s">
        <v>30</v>
      </c>
      <c r="E45" s="13" t="s">
        <v>29</v>
      </c>
    </row>
    <row r="46" spans="1:6" ht="15" thickBot="1" x14ac:dyDescent="0.35">
      <c r="A46" s="13" t="s">
        <v>7</v>
      </c>
      <c r="B46" s="14">
        <v>4500</v>
      </c>
      <c r="C46" s="13" t="s">
        <v>34</v>
      </c>
      <c r="D46" s="13" t="s">
        <v>33</v>
      </c>
      <c r="E46" s="13" t="s">
        <v>32</v>
      </c>
    </row>
    <row r="51" spans="3:6" x14ac:dyDescent="0.3">
      <c r="C51" t="s">
        <v>124</v>
      </c>
    </row>
    <row r="52" spans="3:6" ht="15" thickBot="1" x14ac:dyDescent="0.35"/>
    <row r="53" spans="3:6" ht="15" thickBot="1" x14ac:dyDescent="0.35">
      <c r="C53" s="13" t="s">
        <v>4</v>
      </c>
      <c r="D53" s="17" t="s">
        <v>1</v>
      </c>
      <c r="E53" s="13" t="s">
        <v>2</v>
      </c>
      <c r="F53" s="13" t="s">
        <v>3</v>
      </c>
    </row>
    <row r="54" spans="3:6" ht="15" thickBot="1" x14ac:dyDescent="0.35">
      <c r="C54" s="16" t="s">
        <v>15</v>
      </c>
      <c r="D54" s="11" t="str">
        <f>_xlfn.XLOOKUP(C39,C36:C46,D36:D46,FALSE)</f>
        <v>Office Chair</v>
      </c>
      <c r="E54" t="str">
        <f>_xlfn.XLOOKUP(C39,C36:C46,A36:A46,FALSE)</f>
        <v>Furniture</v>
      </c>
      <c r="F54">
        <f>_xlfn.XLOOKUP(C39,C36:C46,B36:B46,FALSE)</f>
        <v>8500</v>
      </c>
    </row>
    <row r="55" spans="3:6" ht="15" thickBot="1" x14ac:dyDescent="0.35">
      <c r="C55" s="13" t="s">
        <v>18</v>
      </c>
      <c r="D55" s="11" t="str">
        <f t="shared" ref="D55:D57" si="4">_xlfn.XLOOKUP(C40,C37:C47,D37:D47,FALSE)</f>
        <v>Desk</v>
      </c>
      <c r="E55" t="str">
        <f t="shared" ref="E55:E57" si="5">_xlfn.XLOOKUP(C40,C37:C47,A37:A47,FALSE)</f>
        <v>Furniture</v>
      </c>
      <c r="F55">
        <f t="shared" ref="F55:F57" si="6">_xlfn.XLOOKUP(C40,C37:C47,B37:B47,FALSE)</f>
        <v>12000</v>
      </c>
    </row>
    <row r="56" spans="3:6" ht="15" thickBot="1" x14ac:dyDescent="0.35">
      <c r="C56" s="13" t="s">
        <v>11</v>
      </c>
      <c r="D56" s="11" t="str">
        <f t="shared" si="4"/>
        <v>Keyboard</v>
      </c>
      <c r="E56" t="str">
        <f t="shared" si="5"/>
        <v>Electronics</v>
      </c>
      <c r="F56">
        <f t="shared" si="6"/>
        <v>1500</v>
      </c>
    </row>
    <row r="57" spans="3:6" ht="15" thickBot="1" x14ac:dyDescent="0.35">
      <c r="C57" s="13" t="s">
        <v>23</v>
      </c>
      <c r="D57" s="11" t="str">
        <f t="shared" si="4"/>
        <v>Printer</v>
      </c>
      <c r="E57" t="str">
        <f t="shared" si="5"/>
        <v>Electronics</v>
      </c>
      <c r="F57">
        <f t="shared" si="6"/>
        <v>15000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8DB65-AA77-4DAB-A602-9B75CB495002}">
  <dimension ref="A1:K28"/>
  <sheetViews>
    <sheetView zoomScale="130" zoomScaleNormal="130" workbookViewId="0">
      <selection sqref="A1:E11"/>
    </sheetView>
  </sheetViews>
  <sheetFormatPr defaultRowHeight="14.4" x14ac:dyDescent="0.3"/>
  <cols>
    <col min="1" max="1" width="14.44140625" customWidth="1"/>
    <col min="2" max="2" width="13.88671875" customWidth="1"/>
    <col min="3" max="3" width="12.77734375" customWidth="1"/>
    <col min="4" max="4" width="23.6640625" bestFit="1" customWidth="1"/>
    <col min="5" max="5" width="26.6640625" bestFit="1" customWidth="1"/>
    <col min="6" max="6" width="14.21875" bestFit="1" customWidth="1"/>
  </cols>
  <sheetData>
    <row r="1" spans="1:11" ht="15" thickBot="1" x14ac:dyDescent="0.3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</row>
    <row r="2" spans="1:11" ht="15" thickBot="1" x14ac:dyDescent="0.35">
      <c r="A2" s="20" t="s">
        <v>5</v>
      </c>
      <c r="B2" s="20" t="s">
        <v>6</v>
      </c>
      <c r="C2" s="20" t="s">
        <v>7</v>
      </c>
      <c r="D2" s="21">
        <v>55000</v>
      </c>
      <c r="E2" s="20" t="s">
        <v>8</v>
      </c>
    </row>
    <row r="3" spans="1:11" ht="15" thickBot="1" x14ac:dyDescent="0.35">
      <c r="A3" s="20" t="s">
        <v>9</v>
      </c>
      <c r="B3" s="20" t="s">
        <v>10</v>
      </c>
      <c r="C3" s="20" t="s">
        <v>7</v>
      </c>
      <c r="D3" s="21">
        <v>1500</v>
      </c>
      <c r="E3" s="20" t="s">
        <v>11</v>
      </c>
    </row>
    <row r="4" spans="1:11" ht="15" thickBot="1" x14ac:dyDescent="0.35">
      <c r="A4" s="20" t="s">
        <v>12</v>
      </c>
      <c r="B4" s="20" t="s">
        <v>13</v>
      </c>
      <c r="C4" s="20" t="s">
        <v>14</v>
      </c>
      <c r="D4" s="21">
        <v>8500</v>
      </c>
      <c r="E4" s="20" t="s">
        <v>15</v>
      </c>
      <c r="G4" s="23" t="s">
        <v>138</v>
      </c>
      <c r="H4" s="24"/>
      <c r="I4" s="24"/>
      <c r="J4" s="24"/>
    </row>
    <row r="5" spans="1:11" ht="15" thickBot="1" x14ac:dyDescent="0.35">
      <c r="A5" s="20" t="s">
        <v>16</v>
      </c>
      <c r="B5" s="20" t="s">
        <v>17</v>
      </c>
      <c r="C5" s="20" t="s">
        <v>14</v>
      </c>
      <c r="D5" s="21">
        <v>12000</v>
      </c>
      <c r="E5" s="20" t="s">
        <v>18</v>
      </c>
      <c r="G5" s="22"/>
    </row>
    <row r="6" spans="1:11" ht="15" thickBot="1" x14ac:dyDescent="0.35">
      <c r="A6" s="20" t="s">
        <v>19</v>
      </c>
      <c r="B6" s="20" t="s">
        <v>20</v>
      </c>
      <c r="C6" s="20" t="s">
        <v>7</v>
      </c>
      <c r="D6" s="21">
        <v>800</v>
      </c>
      <c r="E6" s="20" t="s">
        <v>11</v>
      </c>
      <c r="G6" s="22"/>
    </row>
    <row r="7" spans="1:11" ht="15" thickBot="1" x14ac:dyDescent="0.35">
      <c r="A7" s="20" t="s">
        <v>21</v>
      </c>
      <c r="B7" s="20" t="s">
        <v>22</v>
      </c>
      <c r="C7" s="20" t="s">
        <v>7</v>
      </c>
      <c r="D7" s="21">
        <v>15000</v>
      </c>
      <c r="E7" s="20" t="s">
        <v>23</v>
      </c>
      <c r="G7" s="22">
        <f>MATCH(A2,A1:A11,0)</f>
        <v>2</v>
      </c>
    </row>
    <row r="8" spans="1:11" ht="15" thickBot="1" x14ac:dyDescent="0.35">
      <c r="A8" s="20" t="s">
        <v>24</v>
      </c>
      <c r="B8" s="20" t="s">
        <v>25</v>
      </c>
      <c r="C8" s="20" t="s">
        <v>7</v>
      </c>
      <c r="D8" s="21">
        <v>18000</v>
      </c>
      <c r="E8" s="20" t="s">
        <v>26</v>
      </c>
    </row>
    <row r="9" spans="1:11" ht="15" thickBot="1" x14ac:dyDescent="0.35">
      <c r="A9" s="20" t="s">
        <v>27</v>
      </c>
      <c r="B9" s="20" t="s">
        <v>28</v>
      </c>
      <c r="C9" s="20" t="s">
        <v>14</v>
      </c>
      <c r="D9" s="21">
        <v>7000</v>
      </c>
      <c r="E9" s="20" t="s">
        <v>18</v>
      </c>
      <c r="G9" t="s">
        <v>139</v>
      </c>
    </row>
    <row r="10" spans="1:11" ht="15" thickBot="1" x14ac:dyDescent="0.35">
      <c r="A10" s="20" t="s">
        <v>29</v>
      </c>
      <c r="B10" s="20" t="s">
        <v>30</v>
      </c>
      <c r="C10" s="20" t="s">
        <v>7</v>
      </c>
      <c r="D10" s="21">
        <v>2500</v>
      </c>
      <c r="E10" s="20" t="s">
        <v>31</v>
      </c>
      <c r="G10">
        <f>MATCH(B8,B1:B11,0)</f>
        <v>8</v>
      </c>
    </row>
    <row r="11" spans="1:11" ht="15" thickBot="1" x14ac:dyDescent="0.35">
      <c r="A11" s="20" t="s">
        <v>32</v>
      </c>
      <c r="B11" s="20" t="s">
        <v>33</v>
      </c>
      <c r="C11" s="20" t="s">
        <v>7</v>
      </c>
      <c r="D11" s="21">
        <v>4500</v>
      </c>
      <c r="E11" s="20" t="s">
        <v>34</v>
      </c>
    </row>
    <row r="12" spans="1:11" x14ac:dyDescent="0.3">
      <c r="G12" t="s">
        <v>140</v>
      </c>
    </row>
    <row r="13" spans="1:11" x14ac:dyDescent="0.3">
      <c r="G13">
        <f>MATCH(B5,B1:B11,)</f>
        <v>5</v>
      </c>
    </row>
    <row r="16" spans="1:11" x14ac:dyDescent="0.3">
      <c r="G16" s="25" t="s">
        <v>142</v>
      </c>
      <c r="H16" s="25"/>
      <c r="I16" s="25"/>
      <c r="J16" s="25"/>
      <c r="K16" s="25"/>
    </row>
    <row r="17" spans="4:7" x14ac:dyDescent="0.3">
      <c r="F17" t="s">
        <v>144</v>
      </c>
      <c r="G17" t="str">
        <f>INDEX(B1:B11,2)</f>
        <v>Laptop</v>
      </c>
    </row>
    <row r="18" spans="4:7" x14ac:dyDescent="0.3">
      <c r="F18" t="s">
        <v>143</v>
      </c>
      <c r="G18" t="str">
        <f>INDEX(C1:C11,5)</f>
        <v>Furniture</v>
      </c>
    </row>
    <row r="21" spans="4:7" x14ac:dyDescent="0.3">
      <c r="D21" t="s">
        <v>147</v>
      </c>
      <c r="E21" t="s">
        <v>145</v>
      </c>
      <c r="F21">
        <f>MATCH(E11,E1:E11,)</f>
        <v>11</v>
      </c>
    </row>
    <row r="22" spans="4:7" x14ac:dyDescent="0.3">
      <c r="D22" t="s">
        <v>141</v>
      </c>
      <c r="E22" t="s">
        <v>146</v>
      </c>
      <c r="F22" t="str">
        <f>INDEX(B1:B11,5)</f>
        <v>Desk</v>
      </c>
    </row>
    <row r="24" spans="4:7" x14ac:dyDescent="0.3">
      <c r="D24" s="26" t="s">
        <v>148</v>
      </c>
      <c r="E24" s="26">
        <f>INDEX(D1:D11,MATCH(B11,B1:B11,))</f>
        <v>4500</v>
      </c>
    </row>
    <row r="25" spans="4:7" x14ac:dyDescent="0.3">
      <c r="D25" s="26" t="s">
        <v>149</v>
      </c>
      <c r="E25" s="26" t="str">
        <f>INDEX(E1:E11,MATCH(B6,B1:B11,))</f>
        <v>Logitech</v>
      </c>
    </row>
    <row r="27" spans="4:7" x14ac:dyDescent="0.3">
      <c r="D27" t="s">
        <v>150</v>
      </c>
      <c r="E27">
        <f>INDEX(D1:D11,MATCH(B7,B1:B11,))</f>
        <v>15000</v>
      </c>
    </row>
    <row r="28" spans="4:7" x14ac:dyDescent="0.3">
      <c r="D28" t="s">
        <v>151</v>
      </c>
      <c r="E28" t="str">
        <f>INDEX(C1:C11,MATCH(B11,B1:B11))</f>
        <v>Electronics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653BA-6CEA-4114-AD51-0E16C9092EE6}">
  <dimension ref="A1:L19"/>
  <sheetViews>
    <sheetView workbookViewId="0">
      <selection activeCell="B23" sqref="B23"/>
    </sheetView>
  </sheetViews>
  <sheetFormatPr defaultRowHeight="14.4" x14ac:dyDescent="0.3"/>
  <sheetData>
    <row r="1" spans="1:12" x14ac:dyDescent="0.3">
      <c r="A1" s="27" t="s">
        <v>37</v>
      </c>
      <c r="B1" s="27" t="s">
        <v>38</v>
      </c>
      <c r="C1" s="27" t="s">
        <v>152</v>
      </c>
      <c r="D1" s="27" t="s">
        <v>41</v>
      </c>
      <c r="E1" s="27" t="s">
        <v>153</v>
      </c>
      <c r="F1" s="28"/>
      <c r="G1" s="29" t="s">
        <v>154</v>
      </c>
      <c r="H1" s="28"/>
      <c r="I1" s="28"/>
      <c r="J1" s="28"/>
      <c r="K1" s="28"/>
      <c r="L1" s="28"/>
    </row>
    <row r="2" spans="1:12" x14ac:dyDescent="0.3">
      <c r="A2" s="30">
        <v>30</v>
      </c>
      <c r="B2" s="30" t="s">
        <v>155</v>
      </c>
      <c r="C2" s="30" t="s">
        <v>156</v>
      </c>
      <c r="D2" s="31">
        <v>45000</v>
      </c>
      <c r="E2" s="30" t="s">
        <v>48</v>
      </c>
      <c r="F2" s="28"/>
      <c r="G2" s="27" t="s">
        <v>152</v>
      </c>
      <c r="H2" s="27" t="s">
        <v>36</v>
      </c>
      <c r="I2" s="27" t="s">
        <v>38</v>
      </c>
      <c r="J2" s="27" t="s">
        <v>41</v>
      </c>
      <c r="K2" s="27" t="s">
        <v>153</v>
      </c>
      <c r="L2" s="27" t="s">
        <v>37</v>
      </c>
    </row>
    <row r="3" spans="1:12" x14ac:dyDescent="0.3">
      <c r="A3" s="30">
        <v>28</v>
      </c>
      <c r="B3" s="30" t="s">
        <v>155</v>
      </c>
      <c r="C3" s="30" t="s">
        <v>157</v>
      </c>
      <c r="D3" s="31">
        <v>38000</v>
      </c>
      <c r="E3" s="30" t="s">
        <v>63</v>
      </c>
      <c r="F3" s="28"/>
      <c r="G3" s="30" t="s">
        <v>158</v>
      </c>
      <c r="H3" s="28"/>
      <c r="I3" t="str">
        <f>INDEX(B1:B19,MATCH(C5,C1:C19,))</f>
        <v>F</v>
      </c>
      <c r="J3" s="28">
        <f>INDEX(D1:D19,MATCH(C5,C1:C19,))</f>
        <v>28000</v>
      </c>
      <c r="K3" s="28" t="str">
        <f>INDEX(E1:E19,MATCH(C5,C1:C19,))</f>
        <v>HR</v>
      </c>
      <c r="L3" s="28">
        <f>INDEX(A1:A19,MATCH(C5,C1:C19,))</f>
        <v>27</v>
      </c>
    </row>
    <row r="4" spans="1:12" x14ac:dyDescent="0.3">
      <c r="A4" s="30">
        <v>27</v>
      </c>
      <c r="B4" s="30" t="s">
        <v>155</v>
      </c>
      <c r="C4" s="30" t="s">
        <v>159</v>
      </c>
      <c r="D4" s="31">
        <v>34500</v>
      </c>
      <c r="E4" s="30" t="s">
        <v>63</v>
      </c>
      <c r="F4" s="28"/>
      <c r="G4" s="30" t="s">
        <v>160</v>
      </c>
      <c r="H4" s="28"/>
      <c r="I4" s="28" t="str">
        <f>INDEX(B1:B19,MATCH(C17,C1:C19,))</f>
        <v>M</v>
      </c>
      <c r="J4" s="28">
        <f>INDEX(D1:D19,MATCH(C17,C1:C19,))</f>
        <v>41500</v>
      </c>
      <c r="K4" s="28" t="str">
        <f>INDEX(E1:E19,MATCH(C17,C1:C19,))</f>
        <v>Logistics</v>
      </c>
      <c r="L4" s="28">
        <f>INDEX(A1:A19,MATCH(C17,C1:C19,))</f>
        <v>25</v>
      </c>
    </row>
    <row r="5" spans="1:12" x14ac:dyDescent="0.3">
      <c r="A5" s="30">
        <v>27</v>
      </c>
      <c r="B5" s="30" t="s">
        <v>161</v>
      </c>
      <c r="C5" s="30" t="s">
        <v>158</v>
      </c>
      <c r="D5" s="31">
        <v>28000</v>
      </c>
      <c r="E5" s="30" t="s">
        <v>53</v>
      </c>
      <c r="F5" s="28"/>
      <c r="G5" s="30" t="s">
        <v>162</v>
      </c>
      <c r="H5" s="28"/>
      <c r="I5" s="28"/>
      <c r="J5" s="28"/>
      <c r="K5" s="28"/>
      <c r="L5" s="28"/>
    </row>
    <row r="6" spans="1:12" x14ac:dyDescent="0.3">
      <c r="A6" s="30">
        <v>28</v>
      </c>
      <c r="B6" s="30" t="s">
        <v>155</v>
      </c>
      <c r="C6" s="30" t="s">
        <v>163</v>
      </c>
      <c r="D6" s="31">
        <v>42500</v>
      </c>
      <c r="E6" s="30" t="s">
        <v>164</v>
      </c>
      <c r="F6" s="28"/>
      <c r="G6" s="28"/>
      <c r="H6" s="28"/>
      <c r="I6" s="28"/>
      <c r="J6" s="28"/>
      <c r="K6" s="28"/>
      <c r="L6" s="28"/>
    </row>
    <row r="7" spans="1:12" x14ac:dyDescent="0.3">
      <c r="A7" s="30">
        <v>27</v>
      </c>
      <c r="B7" s="30" t="s">
        <v>155</v>
      </c>
      <c r="C7" s="30" t="s">
        <v>165</v>
      </c>
      <c r="D7" s="31">
        <v>30000</v>
      </c>
      <c r="E7" s="30" t="s">
        <v>53</v>
      </c>
      <c r="F7" s="28"/>
      <c r="G7" s="28"/>
      <c r="H7" s="28"/>
      <c r="I7" s="28"/>
      <c r="J7" s="28"/>
      <c r="K7" s="28"/>
      <c r="L7" s="28"/>
    </row>
    <row r="8" spans="1:12" x14ac:dyDescent="0.3">
      <c r="A8" s="30">
        <v>23</v>
      </c>
      <c r="B8" s="30" t="s">
        <v>161</v>
      </c>
      <c r="C8" s="30" t="s">
        <v>166</v>
      </c>
      <c r="D8" s="31">
        <v>25000</v>
      </c>
      <c r="E8" s="30" t="s">
        <v>164</v>
      </c>
      <c r="F8" s="28"/>
      <c r="G8" s="29" t="s">
        <v>167</v>
      </c>
      <c r="H8" s="28"/>
      <c r="I8" s="28"/>
      <c r="J8" s="28"/>
      <c r="K8" s="28"/>
      <c r="L8" s="28"/>
    </row>
    <row r="9" spans="1:12" x14ac:dyDescent="0.3">
      <c r="A9" s="30">
        <v>31</v>
      </c>
      <c r="B9" s="30" t="s">
        <v>155</v>
      </c>
      <c r="C9" s="30" t="s">
        <v>168</v>
      </c>
      <c r="D9" s="31">
        <v>34000</v>
      </c>
      <c r="E9" s="30" t="s">
        <v>48</v>
      </c>
      <c r="F9" s="28"/>
      <c r="G9" s="27" t="s">
        <v>152</v>
      </c>
      <c r="H9" s="27" t="s">
        <v>36</v>
      </c>
      <c r="I9" s="27" t="s">
        <v>37</v>
      </c>
      <c r="J9" s="27" t="s">
        <v>38</v>
      </c>
      <c r="K9" s="27" t="s">
        <v>41</v>
      </c>
      <c r="L9" s="27" t="s">
        <v>153</v>
      </c>
    </row>
    <row r="10" spans="1:12" x14ac:dyDescent="0.3">
      <c r="A10" s="30">
        <v>32</v>
      </c>
      <c r="B10" s="30" t="s">
        <v>155</v>
      </c>
      <c r="C10" s="30" t="s">
        <v>169</v>
      </c>
      <c r="D10" s="31">
        <v>35000</v>
      </c>
      <c r="E10" s="30" t="s">
        <v>48</v>
      </c>
      <c r="F10" s="28"/>
      <c r="G10" s="30" t="s">
        <v>170</v>
      </c>
      <c r="I10" s="28">
        <f>_xlfn.XLOOKUP(C15,C1:C19,A1:A19,FALSE)</f>
        <v>27</v>
      </c>
      <c r="J10" s="28" t="str">
        <f>_xlfn.XLOOKUP(C15,C1:C19,B1:B19,FALSE)</f>
        <v>F</v>
      </c>
      <c r="K10" s="28">
        <f>_xlfn.XLOOKUP(C15,C1:C19,D1:D19)</f>
        <v>42500</v>
      </c>
      <c r="L10" s="28" t="str">
        <f>_xlfn.XLOOKUP(C15,C1:C19,E1:E19,FALSE)</f>
        <v>Sales</v>
      </c>
    </row>
    <row r="11" spans="1:12" x14ac:dyDescent="0.3">
      <c r="A11" s="30">
        <v>28</v>
      </c>
      <c r="B11" s="30" t="s">
        <v>155</v>
      </c>
      <c r="C11" s="30" t="s">
        <v>171</v>
      </c>
      <c r="D11" s="31">
        <v>47000</v>
      </c>
      <c r="E11" s="30" t="s">
        <v>63</v>
      </c>
      <c r="F11" s="28"/>
      <c r="G11" s="30" t="s">
        <v>166</v>
      </c>
      <c r="H11" s="28"/>
      <c r="I11" s="28">
        <f>_xlfn.XLOOKUP(C8,C2:C20,A2:A20,FALSE)</f>
        <v>23</v>
      </c>
      <c r="J11" s="28" t="str">
        <f>_xlfn.XLOOKUP(C8,C2:C20,B2:B20,FALSE)</f>
        <v>F</v>
      </c>
      <c r="K11" s="28">
        <f>_xlfn.XLOOKUP(C8,C2:C20,D2:D20)</f>
        <v>25000</v>
      </c>
      <c r="L11" s="28" t="str">
        <f>_xlfn.XLOOKUP(C8,C2:C20,E2:E20,FALSE)</f>
        <v>Admin</v>
      </c>
    </row>
    <row r="12" spans="1:12" x14ac:dyDescent="0.3">
      <c r="A12" s="30">
        <v>27</v>
      </c>
      <c r="B12" s="30" t="s">
        <v>155</v>
      </c>
      <c r="C12" s="30" t="s">
        <v>172</v>
      </c>
      <c r="D12" s="31">
        <v>53000</v>
      </c>
      <c r="E12" s="30" t="s">
        <v>48</v>
      </c>
      <c r="F12" s="28"/>
      <c r="G12" s="28"/>
      <c r="H12" s="28"/>
      <c r="I12" s="28"/>
      <c r="J12" s="28"/>
      <c r="K12" s="28"/>
      <c r="L12" s="28"/>
    </row>
    <row r="13" spans="1:12" x14ac:dyDescent="0.3">
      <c r="A13" s="30">
        <v>26</v>
      </c>
      <c r="B13" s="30" t="s">
        <v>155</v>
      </c>
      <c r="C13" s="30" t="s">
        <v>173</v>
      </c>
      <c r="D13" s="31">
        <v>37500</v>
      </c>
      <c r="E13" s="30" t="s">
        <v>174</v>
      </c>
      <c r="F13" s="28"/>
      <c r="G13" s="28"/>
      <c r="H13" s="28"/>
      <c r="I13" s="28"/>
      <c r="J13" s="28"/>
      <c r="K13" s="28"/>
      <c r="L13" s="28"/>
    </row>
    <row r="14" spans="1:12" x14ac:dyDescent="0.3">
      <c r="A14" s="30">
        <v>29</v>
      </c>
      <c r="B14" s="30" t="s">
        <v>161</v>
      </c>
      <c r="C14" s="30" t="s">
        <v>175</v>
      </c>
      <c r="D14" s="31">
        <v>40000</v>
      </c>
      <c r="E14" s="30" t="s">
        <v>174</v>
      </c>
      <c r="F14" s="28"/>
      <c r="G14" s="28"/>
      <c r="H14" s="28"/>
      <c r="I14" s="28"/>
      <c r="J14" s="28"/>
      <c r="K14" s="28"/>
      <c r="L14" s="28"/>
    </row>
    <row r="15" spans="1:12" x14ac:dyDescent="0.3">
      <c r="A15" s="30">
        <v>27</v>
      </c>
      <c r="B15" s="30" t="s">
        <v>161</v>
      </c>
      <c r="C15" s="30" t="s">
        <v>170</v>
      </c>
      <c r="D15" s="31">
        <v>42500</v>
      </c>
      <c r="E15" s="30" t="s">
        <v>63</v>
      </c>
      <c r="F15" s="28"/>
      <c r="G15" s="28"/>
      <c r="H15" s="28"/>
      <c r="I15" s="28"/>
      <c r="J15" s="28"/>
      <c r="K15" s="28"/>
      <c r="L15" s="28"/>
    </row>
    <row r="16" spans="1:12" x14ac:dyDescent="0.3">
      <c r="A16" s="30">
        <v>28</v>
      </c>
      <c r="B16" s="30" t="s">
        <v>155</v>
      </c>
      <c r="C16" s="30" t="s">
        <v>176</v>
      </c>
      <c r="D16" s="31">
        <v>34500</v>
      </c>
      <c r="E16" s="30" t="s">
        <v>174</v>
      </c>
      <c r="F16" s="28"/>
      <c r="G16" s="28"/>
      <c r="H16" s="28"/>
      <c r="I16" s="28"/>
      <c r="J16" s="28"/>
      <c r="K16" s="28"/>
      <c r="L16" s="28"/>
    </row>
    <row r="17" spans="1:12" x14ac:dyDescent="0.3">
      <c r="A17" s="30">
        <v>25</v>
      </c>
      <c r="B17" s="30" t="s">
        <v>155</v>
      </c>
      <c r="C17" s="30" t="s">
        <v>160</v>
      </c>
      <c r="D17" s="31">
        <v>41500</v>
      </c>
      <c r="E17" s="30" t="s">
        <v>174</v>
      </c>
      <c r="F17" s="28"/>
      <c r="G17" s="28"/>
      <c r="H17" s="28"/>
      <c r="I17" s="28"/>
      <c r="J17" s="28"/>
      <c r="K17" s="28"/>
      <c r="L17" s="28"/>
    </row>
    <row r="18" spans="1:12" x14ac:dyDescent="0.3">
      <c r="A18" s="30">
        <v>26</v>
      </c>
      <c r="B18" s="30" t="s">
        <v>161</v>
      </c>
      <c r="C18" s="30" t="s">
        <v>177</v>
      </c>
      <c r="D18" s="31">
        <v>52500</v>
      </c>
      <c r="E18" s="30" t="s">
        <v>48</v>
      </c>
      <c r="F18" s="28"/>
      <c r="G18" s="28"/>
      <c r="H18" s="28"/>
      <c r="I18" s="28"/>
      <c r="J18" s="28"/>
      <c r="K18" s="28"/>
      <c r="L18" s="28"/>
    </row>
    <row r="19" spans="1:12" x14ac:dyDescent="0.3">
      <c r="A19" s="30">
        <v>28</v>
      </c>
      <c r="B19" s="30" t="s">
        <v>155</v>
      </c>
      <c r="C19" s="30" t="s">
        <v>178</v>
      </c>
      <c r="D19" s="31">
        <v>50000</v>
      </c>
      <c r="E19" s="30" t="s">
        <v>63</v>
      </c>
      <c r="F19" s="28"/>
      <c r="G19" s="28"/>
      <c r="H19" s="28"/>
      <c r="I19" s="28"/>
      <c r="J19" s="28"/>
      <c r="K19" s="28"/>
      <c r="L19" s="2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00E32-6A6F-44CE-BE17-93C9858CFBCB}">
  <dimension ref="A1:AD20"/>
  <sheetViews>
    <sheetView workbookViewId="0">
      <selection activeCell="R21" sqref="R21"/>
    </sheetView>
  </sheetViews>
  <sheetFormatPr defaultRowHeight="14.4" x14ac:dyDescent="0.3"/>
  <cols>
    <col min="2" max="14" width="10.33203125" bestFit="1" customWidth="1"/>
    <col min="16" max="16" width="13.33203125" bestFit="1" customWidth="1"/>
    <col min="26" max="29" width="8.88671875" customWidth="1"/>
    <col min="30" max="30" width="10.44140625" customWidth="1"/>
  </cols>
  <sheetData>
    <row r="1" spans="1:30" ht="15" thickBot="1" x14ac:dyDescent="0.35">
      <c r="A1" s="3" t="s">
        <v>35</v>
      </c>
      <c r="B1" s="5">
        <v>1001</v>
      </c>
      <c r="C1" s="5">
        <v>1002</v>
      </c>
      <c r="D1" s="5">
        <v>1003</v>
      </c>
      <c r="E1" s="5">
        <v>1004</v>
      </c>
      <c r="F1" s="5">
        <v>1005</v>
      </c>
      <c r="G1" s="5">
        <v>1006</v>
      </c>
      <c r="H1" s="5">
        <v>1007</v>
      </c>
      <c r="I1" s="5">
        <v>1008</v>
      </c>
      <c r="J1" s="5">
        <v>1009</v>
      </c>
      <c r="K1" s="5">
        <v>1010</v>
      </c>
      <c r="L1" s="5">
        <v>1011</v>
      </c>
      <c r="M1" s="5">
        <v>1012</v>
      </c>
      <c r="N1" s="5">
        <v>1013</v>
      </c>
      <c r="O1" s="5">
        <v>1014</v>
      </c>
      <c r="P1" s="5">
        <v>1015</v>
      </c>
      <c r="Q1" s="5">
        <v>1016</v>
      </c>
      <c r="R1" s="5">
        <v>1017</v>
      </c>
      <c r="S1" s="5">
        <v>1018</v>
      </c>
      <c r="T1" s="5">
        <v>1019</v>
      </c>
      <c r="U1" s="5">
        <v>1020</v>
      </c>
      <c r="V1" s="5">
        <v>1021</v>
      </c>
      <c r="W1" s="5">
        <v>1022</v>
      </c>
      <c r="X1" s="5">
        <v>1023</v>
      </c>
      <c r="Y1" s="5">
        <v>1024</v>
      </c>
      <c r="Z1" s="5">
        <v>1025</v>
      </c>
      <c r="AA1" s="5">
        <v>1026</v>
      </c>
      <c r="AB1" s="5">
        <v>1027</v>
      </c>
      <c r="AC1" s="5">
        <v>1028</v>
      </c>
      <c r="AD1" s="5">
        <v>1029</v>
      </c>
    </row>
    <row r="2" spans="1:30" ht="27.6" thickBot="1" x14ac:dyDescent="0.35">
      <c r="A2" s="4" t="s">
        <v>36</v>
      </c>
      <c r="B2" s="6" t="s">
        <v>46</v>
      </c>
      <c r="C2" s="6" t="s">
        <v>51</v>
      </c>
      <c r="D2" s="6" t="s">
        <v>56</v>
      </c>
      <c r="E2" s="6" t="s">
        <v>59</v>
      </c>
      <c r="F2" s="6" t="s">
        <v>62</v>
      </c>
      <c r="G2" s="6" t="s">
        <v>66</v>
      </c>
      <c r="H2" s="6" t="s">
        <v>69</v>
      </c>
      <c r="I2" s="6" t="s">
        <v>72</v>
      </c>
      <c r="J2" s="6" t="s">
        <v>74</v>
      </c>
      <c r="K2" s="6" t="s">
        <v>76</v>
      </c>
      <c r="L2" s="6" t="s">
        <v>78</v>
      </c>
      <c r="M2" s="6" t="s">
        <v>80</v>
      </c>
      <c r="N2" s="6" t="s">
        <v>82</v>
      </c>
      <c r="O2" s="6" t="s">
        <v>84</v>
      </c>
      <c r="P2" s="6" t="s">
        <v>86</v>
      </c>
      <c r="Q2" s="6" t="s">
        <v>88</v>
      </c>
      <c r="R2" s="6" t="s">
        <v>90</v>
      </c>
      <c r="S2" s="6" t="s">
        <v>92</v>
      </c>
      <c r="T2" s="6" t="s">
        <v>94</v>
      </c>
      <c r="U2" s="6" t="s">
        <v>95</v>
      </c>
      <c r="V2" s="6" t="s">
        <v>97</v>
      </c>
      <c r="W2" s="6" t="s">
        <v>99</v>
      </c>
      <c r="X2" s="6" t="s">
        <v>101</v>
      </c>
      <c r="Y2" s="6" t="s">
        <v>102</v>
      </c>
      <c r="Z2" s="6" t="s">
        <v>104</v>
      </c>
      <c r="AA2" s="6" t="s">
        <v>106</v>
      </c>
      <c r="AB2" s="6" t="s">
        <v>107</v>
      </c>
      <c r="AC2" s="6" t="s">
        <v>109</v>
      </c>
      <c r="AD2" s="6" t="s">
        <v>110</v>
      </c>
    </row>
    <row r="3" spans="1:30" ht="15" thickBot="1" x14ac:dyDescent="0.35">
      <c r="A3" s="3" t="s">
        <v>37</v>
      </c>
      <c r="B3" s="5">
        <v>28</v>
      </c>
      <c r="C3" s="5">
        <v>32</v>
      </c>
      <c r="D3" s="5">
        <v>26</v>
      </c>
      <c r="E3" s="5">
        <v>30</v>
      </c>
      <c r="F3" s="5">
        <v>35</v>
      </c>
      <c r="G3" s="5">
        <v>27</v>
      </c>
      <c r="H3" s="5">
        <v>31</v>
      </c>
      <c r="I3" s="5">
        <v>29</v>
      </c>
      <c r="J3" s="5">
        <v>25</v>
      </c>
      <c r="K3" s="5">
        <v>34</v>
      </c>
      <c r="L3" s="5">
        <v>29</v>
      </c>
      <c r="M3" s="5">
        <v>38</v>
      </c>
      <c r="N3" s="5">
        <v>27</v>
      </c>
      <c r="O3" s="5">
        <v>33</v>
      </c>
      <c r="P3" s="5">
        <v>30</v>
      </c>
      <c r="Q3" s="5">
        <v>26</v>
      </c>
      <c r="R3" s="5">
        <v>40</v>
      </c>
      <c r="S3" s="5">
        <v>31</v>
      </c>
      <c r="T3" s="5">
        <v>28</v>
      </c>
      <c r="U3" s="5">
        <v>29</v>
      </c>
      <c r="V3" s="5">
        <v>36</v>
      </c>
      <c r="W3" s="5">
        <v>27</v>
      </c>
      <c r="X3" s="5">
        <v>32</v>
      </c>
      <c r="Y3" s="5">
        <v>30</v>
      </c>
      <c r="Z3" s="5">
        <v>42</v>
      </c>
      <c r="AA3" s="5">
        <v>25</v>
      </c>
      <c r="AB3" s="5">
        <v>34</v>
      </c>
      <c r="AC3" s="5">
        <v>28</v>
      </c>
      <c r="AD3" s="5">
        <v>37</v>
      </c>
    </row>
    <row r="4" spans="1:30" ht="15" thickBot="1" x14ac:dyDescent="0.35">
      <c r="A4" s="4" t="s">
        <v>38</v>
      </c>
      <c r="B4" s="6" t="s">
        <v>47</v>
      </c>
      <c r="C4" s="6" t="s">
        <v>52</v>
      </c>
      <c r="D4" s="6" t="s">
        <v>47</v>
      </c>
      <c r="E4" s="6" t="s">
        <v>52</v>
      </c>
      <c r="F4" s="6" t="s">
        <v>47</v>
      </c>
      <c r="G4" s="6" t="s">
        <v>52</v>
      </c>
      <c r="H4" s="6" t="s">
        <v>47</v>
      </c>
      <c r="I4" s="6" t="s">
        <v>52</v>
      </c>
      <c r="J4" s="6" t="s">
        <v>47</v>
      </c>
      <c r="K4" s="6" t="s">
        <v>52</v>
      </c>
      <c r="L4" s="6" t="s">
        <v>47</v>
      </c>
      <c r="M4" s="6" t="s">
        <v>52</v>
      </c>
      <c r="N4" s="6" t="s">
        <v>47</v>
      </c>
      <c r="O4" s="6" t="s">
        <v>52</v>
      </c>
      <c r="P4" s="6" t="s">
        <v>47</v>
      </c>
      <c r="Q4" s="6" t="s">
        <v>52</v>
      </c>
      <c r="R4" s="6" t="s">
        <v>47</v>
      </c>
      <c r="S4" s="6" t="s">
        <v>52</v>
      </c>
      <c r="T4" s="6" t="s">
        <v>47</v>
      </c>
      <c r="U4" s="6" t="s">
        <v>52</v>
      </c>
      <c r="V4" s="6" t="s">
        <v>47</v>
      </c>
      <c r="W4" s="6" t="s">
        <v>52</v>
      </c>
      <c r="X4" s="6" t="s">
        <v>47</v>
      </c>
      <c r="Y4" s="6" t="s">
        <v>52</v>
      </c>
      <c r="Z4" s="6" t="s">
        <v>47</v>
      </c>
      <c r="AA4" s="6" t="s">
        <v>52</v>
      </c>
      <c r="AB4" s="6" t="s">
        <v>47</v>
      </c>
      <c r="AC4" s="6" t="s">
        <v>52</v>
      </c>
      <c r="AD4" s="6" t="s">
        <v>47</v>
      </c>
    </row>
    <row r="5" spans="1:30" ht="27.6" thickBot="1" x14ac:dyDescent="0.35">
      <c r="A5" s="4" t="s">
        <v>39</v>
      </c>
      <c r="B5" s="6" t="s">
        <v>48</v>
      </c>
      <c r="C5" s="6" t="s">
        <v>53</v>
      </c>
      <c r="D5" s="6" t="s">
        <v>57</v>
      </c>
      <c r="E5" s="6" t="s">
        <v>48</v>
      </c>
      <c r="F5" s="6" t="s">
        <v>63</v>
      </c>
      <c r="G5" s="6" t="s">
        <v>67</v>
      </c>
      <c r="H5" s="6" t="s">
        <v>48</v>
      </c>
      <c r="I5" s="6" t="s">
        <v>57</v>
      </c>
      <c r="J5" s="6" t="s">
        <v>63</v>
      </c>
      <c r="K5" s="6" t="s">
        <v>53</v>
      </c>
      <c r="L5" s="6" t="s">
        <v>48</v>
      </c>
      <c r="M5" s="6" t="s">
        <v>57</v>
      </c>
      <c r="N5" s="6" t="s">
        <v>67</v>
      </c>
      <c r="O5" s="6" t="s">
        <v>48</v>
      </c>
      <c r="P5" s="6" t="s">
        <v>63</v>
      </c>
      <c r="Q5" s="6" t="s">
        <v>53</v>
      </c>
      <c r="R5" s="6" t="s">
        <v>48</v>
      </c>
      <c r="S5" s="6" t="s">
        <v>67</v>
      </c>
      <c r="T5" s="6" t="s">
        <v>57</v>
      </c>
      <c r="U5" s="6" t="s">
        <v>63</v>
      </c>
      <c r="V5" s="6" t="s">
        <v>48</v>
      </c>
      <c r="W5" s="6" t="s">
        <v>53</v>
      </c>
      <c r="X5" s="6" t="s">
        <v>63</v>
      </c>
      <c r="Y5" s="6" t="s">
        <v>57</v>
      </c>
      <c r="Z5" s="6" t="s">
        <v>48</v>
      </c>
      <c r="AA5" s="6" t="s">
        <v>67</v>
      </c>
      <c r="AB5" s="6" t="s">
        <v>57</v>
      </c>
      <c r="AC5" s="6" t="s">
        <v>48</v>
      </c>
      <c r="AD5" s="6" t="s">
        <v>63</v>
      </c>
    </row>
    <row r="6" spans="1:30" ht="40.799999999999997" thickBot="1" x14ac:dyDescent="0.35">
      <c r="A6" s="4" t="s">
        <v>40</v>
      </c>
      <c r="B6" s="6" t="s">
        <v>49</v>
      </c>
      <c r="C6" s="6" t="s">
        <v>54</v>
      </c>
      <c r="D6" s="6" t="s">
        <v>58</v>
      </c>
      <c r="E6" s="6" t="s">
        <v>60</v>
      </c>
      <c r="F6" s="6" t="s">
        <v>64</v>
      </c>
      <c r="G6" s="6" t="s">
        <v>68</v>
      </c>
      <c r="H6" s="6" t="s">
        <v>70</v>
      </c>
      <c r="I6" s="6" t="s">
        <v>73</v>
      </c>
      <c r="J6" s="6" t="s">
        <v>75</v>
      </c>
      <c r="K6" s="6" t="s">
        <v>77</v>
      </c>
      <c r="L6" s="6" t="s">
        <v>49</v>
      </c>
      <c r="M6" s="6" t="s">
        <v>81</v>
      </c>
      <c r="N6" s="6" t="s">
        <v>68</v>
      </c>
      <c r="O6" s="6" t="s">
        <v>85</v>
      </c>
      <c r="P6" s="6" t="s">
        <v>75</v>
      </c>
      <c r="Q6" s="6" t="s">
        <v>89</v>
      </c>
      <c r="R6" s="6" t="s">
        <v>91</v>
      </c>
      <c r="S6" s="6" t="s">
        <v>93</v>
      </c>
      <c r="T6" s="6" t="s">
        <v>58</v>
      </c>
      <c r="U6" s="6" t="s">
        <v>75</v>
      </c>
      <c r="V6" s="6" t="s">
        <v>98</v>
      </c>
      <c r="W6" s="6" t="s">
        <v>77</v>
      </c>
      <c r="X6" s="6" t="s">
        <v>64</v>
      </c>
      <c r="Y6" s="6" t="s">
        <v>73</v>
      </c>
      <c r="Z6" s="6" t="s">
        <v>105</v>
      </c>
      <c r="AA6" s="6" t="s">
        <v>68</v>
      </c>
      <c r="AB6" s="6" t="s">
        <v>108</v>
      </c>
      <c r="AC6" s="6" t="s">
        <v>60</v>
      </c>
      <c r="AD6" s="6" t="s">
        <v>64</v>
      </c>
    </row>
    <row r="7" spans="1:30" ht="15" thickBot="1" x14ac:dyDescent="0.35">
      <c r="A7" s="3" t="s">
        <v>41</v>
      </c>
      <c r="B7" s="5">
        <v>65000</v>
      </c>
      <c r="C7" s="5">
        <v>85000</v>
      </c>
      <c r="D7" s="5">
        <v>52000</v>
      </c>
      <c r="E7" s="5">
        <v>72000</v>
      </c>
      <c r="F7" s="5">
        <v>90000</v>
      </c>
      <c r="G7" s="5">
        <v>48000</v>
      </c>
      <c r="H7" s="5">
        <v>98000</v>
      </c>
      <c r="I7" s="5">
        <v>68000</v>
      </c>
      <c r="J7" s="5">
        <v>45000</v>
      </c>
      <c r="K7" s="5">
        <v>58000</v>
      </c>
      <c r="L7" s="5">
        <v>70000</v>
      </c>
      <c r="M7" s="5">
        <v>105000</v>
      </c>
      <c r="N7" s="5">
        <v>50000</v>
      </c>
      <c r="O7" s="5">
        <v>110000</v>
      </c>
      <c r="P7" s="5">
        <v>47000</v>
      </c>
      <c r="Q7" s="5">
        <v>46000</v>
      </c>
      <c r="R7" s="5">
        <v>125000</v>
      </c>
      <c r="S7" s="5">
        <v>92000</v>
      </c>
      <c r="T7" s="5">
        <v>55000</v>
      </c>
      <c r="U7" s="5">
        <v>49000</v>
      </c>
      <c r="V7" s="5">
        <v>135000</v>
      </c>
      <c r="W7" s="5">
        <v>54000</v>
      </c>
      <c r="X7" s="5">
        <v>88000</v>
      </c>
      <c r="Y7" s="5">
        <v>65000</v>
      </c>
      <c r="Z7" s="5">
        <v>145000</v>
      </c>
      <c r="AA7" s="5">
        <v>44000</v>
      </c>
      <c r="AB7" s="5">
        <v>78000</v>
      </c>
      <c r="AC7" s="5">
        <v>69000</v>
      </c>
      <c r="AD7" s="5">
        <v>95000</v>
      </c>
    </row>
    <row r="8" spans="1:30" ht="27.6" thickBot="1" x14ac:dyDescent="0.35">
      <c r="A8" s="3" t="s">
        <v>42</v>
      </c>
      <c r="B8" s="5">
        <v>4</v>
      </c>
      <c r="C8" s="5">
        <v>8</v>
      </c>
      <c r="D8" s="5">
        <v>3</v>
      </c>
      <c r="E8" s="5">
        <v>5</v>
      </c>
      <c r="F8" s="5">
        <v>10</v>
      </c>
      <c r="G8" s="5">
        <v>2</v>
      </c>
      <c r="H8" s="5">
        <v>9</v>
      </c>
      <c r="I8" s="5">
        <v>5</v>
      </c>
      <c r="J8" s="5">
        <v>2</v>
      </c>
      <c r="K8" s="5">
        <v>6</v>
      </c>
      <c r="L8" s="5">
        <v>5</v>
      </c>
      <c r="M8" s="5">
        <v>12</v>
      </c>
      <c r="N8" s="5">
        <v>3</v>
      </c>
      <c r="O8" s="5">
        <v>11</v>
      </c>
      <c r="P8" s="5">
        <v>4</v>
      </c>
      <c r="Q8" s="5">
        <v>2</v>
      </c>
      <c r="R8" s="5">
        <v>15</v>
      </c>
      <c r="S8" s="5">
        <v>8</v>
      </c>
      <c r="T8" s="5">
        <v>4</v>
      </c>
      <c r="U8" s="5">
        <v>3</v>
      </c>
      <c r="V8" s="5">
        <v>13</v>
      </c>
      <c r="W8" s="5">
        <v>3</v>
      </c>
      <c r="X8" s="5">
        <v>9</v>
      </c>
      <c r="Y8" s="5">
        <v>5</v>
      </c>
      <c r="Z8" s="5">
        <v>18</v>
      </c>
      <c r="AA8" s="5">
        <v>1</v>
      </c>
      <c r="AB8" s="5">
        <v>8</v>
      </c>
      <c r="AC8" s="5">
        <v>4</v>
      </c>
      <c r="AD8" s="5">
        <v>11</v>
      </c>
    </row>
    <row r="9" spans="1:30" ht="27.6" thickBot="1" x14ac:dyDescent="0.35">
      <c r="A9" s="4" t="s">
        <v>43</v>
      </c>
      <c r="B9" s="6" t="s">
        <v>50</v>
      </c>
      <c r="C9" s="6" t="s">
        <v>55</v>
      </c>
      <c r="D9" s="6" t="s">
        <v>50</v>
      </c>
      <c r="E9" s="6" t="s">
        <v>61</v>
      </c>
      <c r="F9" s="6" t="s">
        <v>65</v>
      </c>
      <c r="G9" s="6" t="s">
        <v>50</v>
      </c>
      <c r="H9" s="6" t="s">
        <v>71</v>
      </c>
      <c r="I9" s="6" t="s">
        <v>61</v>
      </c>
      <c r="J9" s="6" t="s">
        <v>55</v>
      </c>
      <c r="K9" s="6" t="s">
        <v>50</v>
      </c>
      <c r="L9" s="6" t="s">
        <v>79</v>
      </c>
      <c r="M9" s="6" t="s">
        <v>65</v>
      </c>
      <c r="N9" s="6" t="s">
        <v>83</v>
      </c>
      <c r="O9" s="6" t="s">
        <v>61</v>
      </c>
      <c r="P9" s="6" t="s">
        <v>87</v>
      </c>
      <c r="Q9" s="6" t="s">
        <v>50</v>
      </c>
      <c r="R9" s="6" t="s">
        <v>71</v>
      </c>
      <c r="S9" s="6" t="s">
        <v>55</v>
      </c>
      <c r="T9" s="6" t="s">
        <v>79</v>
      </c>
      <c r="U9" s="6" t="s">
        <v>96</v>
      </c>
      <c r="V9" s="6" t="s">
        <v>65</v>
      </c>
      <c r="W9" s="6" t="s">
        <v>100</v>
      </c>
      <c r="X9" s="6" t="s">
        <v>71</v>
      </c>
      <c r="Y9" s="6" t="s">
        <v>103</v>
      </c>
      <c r="Z9" s="6" t="s">
        <v>50</v>
      </c>
      <c r="AA9" s="6" t="s">
        <v>83</v>
      </c>
      <c r="AB9" s="6" t="s">
        <v>50</v>
      </c>
      <c r="AC9" s="6" t="s">
        <v>55</v>
      </c>
      <c r="AD9" s="6" t="s">
        <v>79</v>
      </c>
    </row>
    <row r="10" spans="1:30" ht="27.6" thickBot="1" x14ac:dyDescent="0.35">
      <c r="A10" s="4" t="s">
        <v>44</v>
      </c>
      <c r="B10" s="7">
        <v>44635</v>
      </c>
      <c r="C10" s="7">
        <v>43301</v>
      </c>
      <c r="D10" s="7">
        <v>44936</v>
      </c>
      <c r="E10" s="7">
        <v>44328</v>
      </c>
      <c r="F10" s="7">
        <v>42607</v>
      </c>
      <c r="G10" s="7">
        <v>45340</v>
      </c>
      <c r="H10" s="7">
        <v>43044</v>
      </c>
      <c r="I10" s="7">
        <v>44453</v>
      </c>
      <c r="J10" s="7">
        <v>45313</v>
      </c>
      <c r="K10" s="7">
        <v>43993</v>
      </c>
      <c r="L10" s="7">
        <v>44263</v>
      </c>
      <c r="M10" s="7">
        <v>41746</v>
      </c>
      <c r="N10" s="7">
        <v>45108</v>
      </c>
      <c r="O10" s="7">
        <v>42296</v>
      </c>
      <c r="P10" s="7">
        <v>44900</v>
      </c>
      <c r="Q10" s="7">
        <v>45363</v>
      </c>
      <c r="R10" s="7">
        <v>40595</v>
      </c>
      <c r="S10" s="7">
        <v>43353</v>
      </c>
      <c r="T10" s="7">
        <v>44728</v>
      </c>
      <c r="U10" s="7">
        <v>45041</v>
      </c>
      <c r="V10" s="7">
        <v>41495</v>
      </c>
      <c r="W10" s="7">
        <v>44971</v>
      </c>
      <c r="X10" s="7">
        <v>42877</v>
      </c>
      <c r="Y10" s="7">
        <v>44503</v>
      </c>
      <c r="Z10" s="7">
        <v>39462</v>
      </c>
      <c r="AA10" s="7">
        <v>45667</v>
      </c>
      <c r="AB10" s="7">
        <v>43446</v>
      </c>
      <c r="AC10" s="7">
        <v>44699</v>
      </c>
      <c r="AD10" s="7">
        <v>42185</v>
      </c>
    </row>
    <row r="11" spans="1:30" ht="40.799999999999997" thickBot="1" x14ac:dyDescent="0.35">
      <c r="A11" s="3" t="s">
        <v>45</v>
      </c>
      <c r="B11" s="5">
        <v>4</v>
      </c>
      <c r="C11" s="5">
        <v>5</v>
      </c>
      <c r="D11" s="5">
        <v>3</v>
      </c>
      <c r="E11" s="5">
        <v>4</v>
      </c>
      <c r="F11" s="5">
        <v>5</v>
      </c>
      <c r="G11" s="5">
        <v>3</v>
      </c>
      <c r="H11" s="5">
        <v>4</v>
      </c>
      <c r="I11" s="5">
        <v>4</v>
      </c>
      <c r="J11" s="5">
        <v>3</v>
      </c>
      <c r="K11" s="5">
        <v>4</v>
      </c>
      <c r="L11" s="5">
        <v>5</v>
      </c>
      <c r="M11" s="5">
        <v>5</v>
      </c>
      <c r="N11" s="5">
        <v>3</v>
      </c>
      <c r="O11" s="5">
        <v>5</v>
      </c>
      <c r="P11" s="5">
        <v>3</v>
      </c>
      <c r="Q11" s="5">
        <v>4</v>
      </c>
      <c r="R11" s="5">
        <v>5</v>
      </c>
      <c r="S11" s="5">
        <v>4</v>
      </c>
      <c r="T11" s="5">
        <v>3</v>
      </c>
      <c r="U11" s="5">
        <v>4</v>
      </c>
      <c r="V11" s="5">
        <v>5</v>
      </c>
      <c r="W11" s="5">
        <v>3</v>
      </c>
      <c r="X11" s="5">
        <v>4</v>
      </c>
      <c r="Y11" s="5">
        <v>4</v>
      </c>
      <c r="Z11" s="5">
        <v>5</v>
      </c>
      <c r="AA11" s="5">
        <v>3</v>
      </c>
      <c r="AB11" s="5">
        <v>4</v>
      </c>
      <c r="AC11" s="5">
        <v>4</v>
      </c>
      <c r="AD11" s="6"/>
    </row>
    <row r="13" spans="1:30" x14ac:dyDescent="0.3">
      <c r="C13" t="s">
        <v>129</v>
      </c>
    </row>
    <row r="14" spans="1:30" x14ac:dyDescent="0.3">
      <c r="C14">
        <f>HLOOKUP(B1,A1:AD11,7,FALSE)</f>
        <v>65000</v>
      </c>
      <c r="F14" t="s">
        <v>130</v>
      </c>
      <c r="P14" t="s">
        <v>132</v>
      </c>
      <c r="Q14">
        <v>104</v>
      </c>
      <c r="R14" t="str">
        <f>HLOOKUP(E1,A1:AD11,2,FALSE)</f>
        <v>Sneha Singh</v>
      </c>
    </row>
    <row r="15" spans="1:30" x14ac:dyDescent="0.3">
      <c r="P15" t="s">
        <v>133</v>
      </c>
      <c r="Q15">
        <v>107</v>
      </c>
      <c r="R15" t="str">
        <f>HLOOKUP(H1,A1:AD11,5,FALSE)</f>
        <v>IT</v>
      </c>
    </row>
    <row r="16" spans="1:30" x14ac:dyDescent="0.3">
      <c r="C16" t="s">
        <v>131</v>
      </c>
      <c r="P16" t="s">
        <v>134</v>
      </c>
      <c r="Q16">
        <v>103</v>
      </c>
      <c r="R16" t="str">
        <f>HLOOKUP(D1,A1:AD11,9,FALSE)</f>
        <v>Delhi</v>
      </c>
    </row>
    <row r="17" spans="3:18" x14ac:dyDescent="0.3">
      <c r="C17" t="str">
        <f>HLOOKUP(G1,A1:AD11,9,FALSE)</f>
        <v>Delhi</v>
      </c>
      <c r="P17" t="s">
        <v>135</v>
      </c>
      <c r="Q17">
        <v>106</v>
      </c>
      <c r="R17">
        <f>HLOOKUP(G1,A1:AD11,7,FALSE)</f>
        <v>48000</v>
      </c>
    </row>
    <row r="18" spans="3:18" x14ac:dyDescent="0.3">
      <c r="P18" t="s">
        <v>136</v>
      </c>
      <c r="Q18">
        <v>108</v>
      </c>
      <c r="R18">
        <f>HLOOKUP(I1,A1:AD11,8,FALSE)</f>
        <v>5</v>
      </c>
    </row>
    <row r="19" spans="3:18" x14ac:dyDescent="0.3">
      <c r="P19" t="s">
        <v>137</v>
      </c>
      <c r="Q19">
        <v>102</v>
      </c>
      <c r="R19">
        <f>HLOOKUP(C1,A1:AD12,3,FALSE)</f>
        <v>32</v>
      </c>
    </row>
    <row r="20" spans="3:18" x14ac:dyDescent="0.3">
      <c r="P20" t="s">
        <v>135</v>
      </c>
      <c r="Q20">
        <v>109</v>
      </c>
      <c r="R20">
        <f>HLOOKUP(J1,A1:AD11,7,)</f>
        <v>45000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CD241-6AE0-4F7F-92ED-8C5A7AEBC755}">
  <dimension ref="A1:H51"/>
  <sheetViews>
    <sheetView zoomScale="80" zoomScaleNormal="80" workbookViewId="0">
      <selection activeCell="H20" sqref="H20"/>
    </sheetView>
  </sheetViews>
  <sheetFormatPr defaultRowHeight="14.4" x14ac:dyDescent="0.3"/>
  <cols>
    <col min="1" max="1" width="6.88671875" bestFit="1" customWidth="1"/>
    <col min="2" max="2" width="7.109375" bestFit="1" customWidth="1"/>
    <col min="3" max="3" width="11.109375" bestFit="1" customWidth="1"/>
    <col min="4" max="4" width="7.5546875" bestFit="1" customWidth="1"/>
    <col min="5" max="5" width="10.6640625" bestFit="1" customWidth="1"/>
    <col min="6" max="6" width="10.33203125" bestFit="1" customWidth="1"/>
    <col min="8" max="8" width="23.6640625" bestFit="1" customWidth="1"/>
  </cols>
  <sheetData>
    <row r="1" spans="1:8" x14ac:dyDescent="0.3">
      <c r="A1" s="32" t="s">
        <v>36</v>
      </c>
      <c r="B1" s="32" t="s">
        <v>38</v>
      </c>
      <c r="C1" s="32" t="s">
        <v>39</v>
      </c>
      <c r="D1" s="32" t="s">
        <v>41</v>
      </c>
      <c r="E1" s="32" t="s">
        <v>179</v>
      </c>
      <c r="F1" s="32" t="s">
        <v>180</v>
      </c>
    </row>
    <row r="2" spans="1:8" x14ac:dyDescent="0.3">
      <c r="A2" t="s">
        <v>181</v>
      </c>
      <c r="B2" t="s">
        <v>47</v>
      </c>
      <c r="C2" t="s">
        <v>182</v>
      </c>
      <c r="D2" s="33">
        <v>53000</v>
      </c>
      <c r="E2" t="s">
        <v>50</v>
      </c>
      <c r="F2" s="34">
        <v>45111</v>
      </c>
    </row>
    <row r="3" spans="1:8" x14ac:dyDescent="0.3">
      <c r="A3" t="s">
        <v>183</v>
      </c>
      <c r="B3" t="s">
        <v>47</v>
      </c>
      <c r="C3" t="s">
        <v>182</v>
      </c>
      <c r="D3" s="33">
        <v>29000</v>
      </c>
      <c r="E3" t="s">
        <v>83</v>
      </c>
      <c r="F3" s="34">
        <v>44327</v>
      </c>
    </row>
    <row r="4" spans="1:8" x14ac:dyDescent="0.3">
      <c r="A4" t="s">
        <v>184</v>
      </c>
      <c r="B4" t="s">
        <v>47</v>
      </c>
      <c r="C4" t="s">
        <v>53</v>
      </c>
      <c r="D4" s="33">
        <v>47000</v>
      </c>
      <c r="E4" t="s">
        <v>185</v>
      </c>
      <c r="F4" s="34">
        <v>45011</v>
      </c>
      <c r="G4" t="s">
        <v>206</v>
      </c>
      <c r="H4" t="s">
        <v>204</v>
      </c>
    </row>
    <row r="5" spans="1:8" x14ac:dyDescent="0.3">
      <c r="A5" t="s">
        <v>186</v>
      </c>
      <c r="B5" t="s">
        <v>52</v>
      </c>
      <c r="C5" t="s">
        <v>53</v>
      </c>
      <c r="D5" s="33">
        <v>75000</v>
      </c>
      <c r="E5" t="s">
        <v>65</v>
      </c>
      <c r="F5" s="34">
        <v>44223</v>
      </c>
      <c r="H5">
        <f>COUNTIF(B:B,B4)</f>
        <v>27</v>
      </c>
    </row>
    <row r="6" spans="1:8" x14ac:dyDescent="0.3">
      <c r="A6" t="s">
        <v>187</v>
      </c>
      <c r="B6" t="s">
        <v>52</v>
      </c>
      <c r="C6" t="s">
        <v>63</v>
      </c>
      <c r="D6" s="33">
        <v>53000</v>
      </c>
      <c r="E6" t="s">
        <v>55</v>
      </c>
      <c r="F6" s="34">
        <v>45078</v>
      </c>
    </row>
    <row r="7" spans="1:8" x14ac:dyDescent="0.3">
      <c r="A7" t="s">
        <v>188</v>
      </c>
      <c r="B7" t="s">
        <v>47</v>
      </c>
      <c r="C7" t="s">
        <v>57</v>
      </c>
      <c r="D7" s="33">
        <v>66000</v>
      </c>
      <c r="E7" t="s">
        <v>189</v>
      </c>
      <c r="F7" s="34">
        <v>45667</v>
      </c>
      <c r="G7" t="s">
        <v>207</v>
      </c>
      <c r="H7" t="s">
        <v>205</v>
      </c>
    </row>
    <row r="8" spans="1:8" x14ac:dyDescent="0.3">
      <c r="A8" t="s">
        <v>190</v>
      </c>
      <c r="B8" t="s">
        <v>52</v>
      </c>
      <c r="C8" t="s">
        <v>164</v>
      </c>
      <c r="D8" s="33">
        <v>23000</v>
      </c>
      <c r="E8" t="s">
        <v>191</v>
      </c>
      <c r="F8" s="34">
        <v>44708</v>
      </c>
      <c r="H8" t="str">
        <f>_xlfn.XLOOKUP(A2,A:A,C:C,FALSE)</f>
        <v>Operations</v>
      </c>
    </row>
    <row r="9" spans="1:8" x14ac:dyDescent="0.3">
      <c r="A9" t="s">
        <v>192</v>
      </c>
      <c r="B9" t="s">
        <v>47</v>
      </c>
      <c r="C9" t="s">
        <v>48</v>
      </c>
      <c r="D9" s="33">
        <v>55000</v>
      </c>
      <c r="E9" t="s">
        <v>79</v>
      </c>
      <c r="F9" s="34">
        <v>44984</v>
      </c>
    </row>
    <row r="10" spans="1:8" x14ac:dyDescent="0.3">
      <c r="A10" t="s">
        <v>193</v>
      </c>
      <c r="B10" t="s">
        <v>47</v>
      </c>
      <c r="C10" t="s">
        <v>182</v>
      </c>
      <c r="D10" s="33">
        <v>47000</v>
      </c>
      <c r="E10" t="s">
        <v>65</v>
      </c>
      <c r="F10" s="34">
        <v>44523</v>
      </c>
    </row>
    <row r="11" spans="1:8" x14ac:dyDescent="0.3">
      <c r="A11" t="s">
        <v>194</v>
      </c>
      <c r="B11" t="s">
        <v>47</v>
      </c>
      <c r="C11" t="s">
        <v>67</v>
      </c>
      <c r="D11" s="33">
        <v>53000</v>
      </c>
      <c r="E11" t="s">
        <v>191</v>
      </c>
      <c r="F11" s="34">
        <v>45691</v>
      </c>
      <c r="H11" t="s">
        <v>208</v>
      </c>
    </row>
    <row r="12" spans="1:8" x14ac:dyDescent="0.3">
      <c r="A12" t="s">
        <v>187</v>
      </c>
      <c r="B12" t="s">
        <v>52</v>
      </c>
      <c r="C12" t="s">
        <v>63</v>
      </c>
      <c r="D12" s="33">
        <v>44000</v>
      </c>
      <c r="E12" t="s">
        <v>65</v>
      </c>
      <c r="F12" s="34">
        <v>44489</v>
      </c>
      <c r="H12">
        <f>MATCH(C8,C:C,)</f>
        <v>8</v>
      </c>
    </row>
    <row r="13" spans="1:8" x14ac:dyDescent="0.3">
      <c r="A13" t="s">
        <v>195</v>
      </c>
      <c r="B13" t="s">
        <v>47</v>
      </c>
      <c r="C13" t="s">
        <v>48</v>
      </c>
      <c r="D13" s="33">
        <v>49000</v>
      </c>
      <c r="E13" t="s">
        <v>55</v>
      </c>
      <c r="F13" s="34">
        <v>46090</v>
      </c>
    </row>
    <row r="14" spans="1:8" x14ac:dyDescent="0.3">
      <c r="A14" t="s">
        <v>192</v>
      </c>
      <c r="B14" t="s">
        <v>52</v>
      </c>
      <c r="C14" t="s">
        <v>182</v>
      </c>
      <c r="D14" s="33">
        <v>46000</v>
      </c>
      <c r="E14" t="s">
        <v>79</v>
      </c>
      <c r="F14" s="34">
        <v>44426</v>
      </c>
    </row>
    <row r="15" spans="1:8" x14ac:dyDescent="0.3">
      <c r="A15" t="s">
        <v>194</v>
      </c>
      <c r="B15" t="s">
        <v>47</v>
      </c>
      <c r="C15" t="s">
        <v>164</v>
      </c>
      <c r="D15" s="33">
        <v>58000</v>
      </c>
      <c r="E15" t="s">
        <v>83</v>
      </c>
      <c r="F15" s="34">
        <v>45293</v>
      </c>
      <c r="H15" t="s">
        <v>209</v>
      </c>
    </row>
    <row r="16" spans="1:8" x14ac:dyDescent="0.3">
      <c r="A16" t="s">
        <v>193</v>
      </c>
      <c r="B16" t="s">
        <v>47</v>
      </c>
      <c r="C16" t="s">
        <v>48</v>
      </c>
      <c r="D16" s="33">
        <v>58000</v>
      </c>
      <c r="E16" t="s">
        <v>50</v>
      </c>
      <c r="F16" s="34">
        <v>46241</v>
      </c>
      <c r="H16" t="str" cm="1">
        <f t="array" ref="H16">INDEX(C:C,7,FALSE)</f>
        <v>Finance</v>
      </c>
    </row>
    <row r="17" spans="1:8" x14ac:dyDescent="0.3">
      <c r="A17" t="s">
        <v>192</v>
      </c>
      <c r="B17" t="s">
        <v>52</v>
      </c>
      <c r="C17" t="s">
        <v>53</v>
      </c>
      <c r="D17" s="33">
        <v>51000</v>
      </c>
      <c r="E17" t="s">
        <v>55</v>
      </c>
      <c r="F17" s="34">
        <v>45207</v>
      </c>
    </row>
    <row r="18" spans="1:8" x14ac:dyDescent="0.3">
      <c r="A18" t="s">
        <v>186</v>
      </c>
      <c r="B18" t="s">
        <v>52</v>
      </c>
      <c r="C18" t="s">
        <v>182</v>
      </c>
      <c r="D18" s="33">
        <v>72000</v>
      </c>
      <c r="E18" t="s">
        <v>83</v>
      </c>
      <c r="F18" s="34">
        <v>45679</v>
      </c>
    </row>
    <row r="19" spans="1:8" x14ac:dyDescent="0.3">
      <c r="A19" t="s">
        <v>194</v>
      </c>
      <c r="B19" t="s">
        <v>47</v>
      </c>
      <c r="C19" t="s">
        <v>48</v>
      </c>
      <c r="D19" s="33">
        <v>81000</v>
      </c>
      <c r="E19" t="s">
        <v>189</v>
      </c>
      <c r="F19" s="34">
        <v>44389</v>
      </c>
      <c r="H19" t="s">
        <v>210</v>
      </c>
    </row>
    <row r="20" spans="1:8" x14ac:dyDescent="0.3">
      <c r="A20" t="s">
        <v>181</v>
      </c>
      <c r="B20" t="s">
        <v>47</v>
      </c>
      <c r="C20" t="s">
        <v>182</v>
      </c>
      <c r="D20" s="33">
        <v>38000</v>
      </c>
      <c r="E20" t="s">
        <v>83</v>
      </c>
      <c r="F20" s="34">
        <v>44457</v>
      </c>
      <c r="H20" s="37">
        <f>_xlfn.XLOOKUP(A5,A1:A51,F1:F51)</f>
        <v>44223</v>
      </c>
    </row>
    <row r="21" spans="1:8" x14ac:dyDescent="0.3">
      <c r="A21" t="s">
        <v>192</v>
      </c>
      <c r="B21" t="s">
        <v>52</v>
      </c>
      <c r="C21" t="s">
        <v>48</v>
      </c>
      <c r="D21" s="33">
        <v>77000</v>
      </c>
      <c r="E21" t="s">
        <v>65</v>
      </c>
      <c r="F21" s="34">
        <v>44244</v>
      </c>
    </row>
    <row r="22" spans="1:8" x14ac:dyDescent="0.3">
      <c r="A22" t="s">
        <v>181</v>
      </c>
      <c r="B22" t="s">
        <v>52</v>
      </c>
      <c r="C22" t="s">
        <v>164</v>
      </c>
      <c r="D22" s="33">
        <v>61000</v>
      </c>
      <c r="E22" t="s">
        <v>189</v>
      </c>
      <c r="F22" s="34">
        <v>45399</v>
      </c>
    </row>
    <row r="23" spans="1:8" x14ac:dyDescent="0.3">
      <c r="A23" t="s">
        <v>196</v>
      </c>
      <c r="B23" t="s">
        <v>47</v>
      </c>
      <c r="C23" t="s">
        <v>67</v>
      </c>
      <c r="D23" s="33">
        <v>18000</v>
      </c>
      <c r="E23" t="s">
        <v>65</v>
      </c>
      <c r="F23" s="34">
        <v>46247</v>
      </c>
    </row>
    <row r="24" spans="1:8" x14ac:dyDescent="0.3">
      <c r="A24" t="s">
        <v>187</v>
      </c>
      <c r="B24" t="s">
        <v>47</v>
      </c>
      <c r="C24" t="s">
        <v>164</v>
      </c>
      <c r="D24" s="33">
        <v>56000</v>
      </c>
      <c r="E24" t="s">
        <v>50</v>
      </c>
      <c r="F24" s="34">
        <v>44823</v>
      </c>
    </row>
    <row r="25" spans="1:8" x14ac:dyDescent="0.3">
      <c r="A25" t="s">
        <v>190</v>
      </c>
      <c r="B25" t="s">
        <v>47</v>
      </c>
      <c r="C25" t="s">
        <v>48</v>
      </c>
      <c r="D25" s="33">
        <v>85000</v>
      </c>
      <c r="E25" t="s">
        <v>185</v>
      </c>
      <c r="F25" s="34">
        <v>45524</v>
      </c>
    </row>
    <row r="26" spans="1:8" x14ac:dyDescent="0.3">
      <c r="A26" t="s">
        <v>197</v>
      </c>
      <c r="B26" t="s">
        <v>47</v>
      </c>
      <c r="C26" t="s">
        <v>57</v>
      </c>
      <c r="D26" s="33">
        <v>64000</v>
      </c>
      <c r="E26" t="s">
        <v>65</v>
      </c>
      <c r="F26" s="34">
        <v>45177</v>
      </c>
    </row>
    <row r="27" spans="1:8" x14ac:dyDescent="0.3">
      <c r="A27" t="s">
        <v>198</v>
      </c>
      <c r="B27" t="s">
        <v>47</v>
      </c>
      <c r="C27" t="s">
        <v>48</v>
      </c>
      <c r="D27" s="33">
        <v>28000</v>
      </c>
      <c r="E27" t="s">
        <v>189</v>
      </c>
      <c r="F27" s="34">
        <v>46187</v>
      </c>
    </row>
    <row r="28" spans="1:8" x14ac:dyDescent="0.3">
      <c r="A28" t="s">
        <v>193</v>
      </c>
      <c r="B28" t="s">
        <v>47</v>
      </c>
      <c r="C28" t="s">
        <v>53</v>
      </c>
      <c r="D28" s="33">
        <v>78000</v>
      </c>
      <c r="E28" t="s">
        <v>55</v>
      </c>
      <c r="F28" s="34">
        <v>45282</v>
      </c>
    </row>
    <row r="29" spans="1:8" x14ac:dyDescent="0.3">
      <c r="A29" t="s">
        <v>199</v>
      </c>
      <c r="B29" t="s">
        <v>52</v>
      </c>
      <c r="C29" t="s">
        <v>53</v>
      </c>
      <c r="D29" s="33">
        <v>43000</v>
      </c>
      <c r="E29" t="s">
        <v>65</v>
      </c>
      <c r="F29" s="34">
        <v>45831</v>
      </c>
    </row>
    <row r="30" spans="1:8" x14ac:dyDescent="0.3">
      <c r="A30" t="s">
        <v>190</v>
      </c>
      <c r="B30" t="s">
        <v>52</v>
      </c>
      <c r="C30" t="s">
        <v>48</v>
      </c>
      <c r="D30" s="33">
        <v>75000</v>
      </c>
      <c r="E30" t="s">
        <v>189</v>
      </c>
      <c r="F30" s="34">
        <v>45212</v>
      </c>
    </row>
    <row r="31" spans="1:8" x14ac:dyDescent="0.3">
      <c r="A31" t="s">
        <v>194</v>
      </c>
      <c r="B31" t="s">
        <v>47</v>
      </c>
      <c r="C31" t="s">
        <v>63</v>
      </c>
      <c r="D31" s="33">
        <v>20000</v>
      </c>
      <c r="E31" t="s">
        <v>50</v>
      </c>
      <c r="F31" s="34">
        <v>45099</v>
      </c>
    </row>
    <row r="32" spans="1:8" x14ac:dyDescent="0.3">
      <c r="A32" t="s">
        <v>184</v>
      </c>
      <c r="B32" t="s">
        <v>47</v>
      </c>
      <c r="C32" t="s">
        <v>182</v>
      </c>
      <c r="D32" s="33">
        <v>25000</v>
      </c>
      <c r="E32" t="s">
        <v>50</v>
      </c>
      <c r="F32" s="34">
        <v>44473</v>
      </c>
    </row>
    <row r="33" spans="1:6" x14ac:dyDescent="0.3">
      <c r="A33" t="s">
        <v>198</v>
      </c>
      <c r="B33" t="s">
        <v>52</v>
      </c>
      <c r="C33" t="s">
        <v>57</v>
      </c>
      <c r="D33" s="33">
        <v>83000</v>
      </c>
      <c r="E33" t="s">
        <v>50</v>
      </c>
      <c r="F33" s="34">
        <v>45337</v>
      </c>
    </row>
    <row r="34" spans="1:6" x14ac:dyDescent="0.3">
      <c r="A34" t="s">
        <v>197</v>
      </c>
      <c r="B34" t="s">
        <v>47</v>
      </c>
      <c r="C34" t="s">
        <v>48</v>
      </c>
      <c r="D34" s="33">
        <v>34000</v>
      </c>
      <c r="E34" t="s">
        <v>191</v>
      </c>
      <c r="F34" s="34">
        <v>45192</v>
      </c>
    </row>
    <row r="35" spans="1:6" x14ac:dyDescent="0.3">
      <c r="A35" t="s">
        <v>197</v>
      </c>
      <c r="B35" t="s">
        <v>52</v>
      </c>
      <c r="C35" t="s">
        <v>53</v>
      </c>
      <c r="D35" s="33">
        <v>30000</v>
      </c>
      <c r="E35" t="s">
        <v>189</v>
      </c>
      <c r="F35" s="34">
        <v>45962</v>
      </c>
    </row>
    <row r="36" spans="1:6" x14ac:dyDescent="0.3">
      <c r="A36" t="s">
        <v>190</v>
      </c>
      <c r="B36" t="s">
        <v>52</v>
      </c>
      <c r="C36" t="s">
        <v>67</v>
      </c>
      <c r="D36" s="33">
        <v>77000</v>
      </c>
      <c r="E36" t="s">
        <v>185</v>
      </c>
      <c r="F36" s="34">
        <v>44600</v>
      </c>
    </row>
    <row r="37" spans="1:6" x14ac:dyDescent="0.3">
      <c r="A37" t="s">
        <v>198</v>
      </c>
      <c r="B37" t="s">
        <v>52</v>
      </c>
      <c r="C37" t="s">
        <v>182</v>
      </c>
      <c r="D37" s="33">
        <v>61000</v>
      </c>
      <c r="E37" t="s">
        <v>189</v>
      </c>
      <c r="F37" s="34">
        <v>45215</v>
      </c>
    </row>
    <row r="38" spans="1:6" x14ac:dyDescent="0.3">
      <c r="A38" t="s">
        <v>200</v>
      </c>
      <c r="B38" t="s">
        <v>47</v>
      </c>
      <c r="C38" t="s">
        <v>48</v>
      </c>
      <c r="D38" s="33">
        <v>75000</v>
      </c>
      <c r="E38" t="s">
        <v>55</v>
      </c>
      <c r="F38" s="34">
        <v>45925</v>
      </c>
    </row>
    <row r="39" spans="1:6" x14ac:dyDescent="0.3">
      <c r="A39" t="s">
        <v>187</v>
      </c>
      <c r="B39" t="s">
        <v>52</v>
      </c>
      <c r="C39" t="s">
        <v>67</v>
      </c>
      <c r="D39" s="33">
        <v>49000</v>
      </c>
      <c r="E39" t="s">
        <v>189</v>
      </c>
      <c r="F39" s="34">
        <v>46012</v>
      </c>
    </row>
    <row r="40" spans="1:6" x14ac:dyDescent="0.3">
      <c r="A40" t="s">
        <v>186</v>
      </c>
      <c r="B40" t="s">
        <v>47</v>
      </c>
      <c r="C40" t="s">
        <v>57</v>
      </c>
      <c r="D40" s="33">
        <v>19000</v>
      </c>
      <c r="E40" t="s">
        <v>189</v>
      </c>
      <c r="F40" s="34">
        <v>45165</v>
      </c>
    </row>
    <row r="41" spans="1:6" x14ac:dyDescent="0.3">
      <c r="A41" t="s">
        <v>187</v>
      </c>
      <c r="B41" t="s">
        <v>52</v>
      </c>
      <c r="C41" t="s">
        <v>67</v>
      </c>
      <c r="D41" s="33">
        <v>79000</v>
      </c>
      <c r="E41" t="s">
        <v>50</v>
      </c>
      <c r="F41" s="34">
        <v>45839</v>
      </c>
    </row>
    <row r="42" spans="1:6" x14ac:dyDescent="0.3">
      <c r="A42" t="s">
        <v>198</v>
      </c>
      <c r="B42" t="s">
        <v>47</v>
      </c>
      <c r="C42" t="s">
        <v>67</v>
      </c>
      <c r="D42" s="33">
        <v>18000</v>
      </c>
      <c r="E42" t="s">
        <v>83</v>
      </c>
      <c r="F42" s="34">
        <v>45283</v>
      </c>
    </row>
    <row r="43" spans="1:6" x14ac:dyDescent="0.3">
      <c r="A43" t="s">
        <v>201</v>
      </c>
      <c r="B43" t="s">
        <v>52</v>
      </c>
      <c r="C43" t="s">
        <v>67</v>
      </c>
      <c r="D43" s="33">
        <v>80000</v>
      </c>
      <c r="E43" t="s">
        <v>55</v>
      </c>
      <c r="F43" s="34">
        <v>44974</v>
      </c>
    </row>
    <row r="44" spans="1:6" x14ac:dyDescent="0.3">
      <c r="A44" t="s">
        <v>202</v>
      </c>
      <c r="B44" t="s">
        <v>47</v>
      </c>
      <c r="C44" t="s">
        <v>57</v>
      </c>
      <c r="D44" s="33">
        <v>25000</v>
      </c>
      <c r="E44" t="s">
        <v>79</v>
      </c>
      <c r="F44" s="34">
        <v>44431</v>
      </c>
    </row>
    <row r="45" spans="1:6" x14ac:dyDescent="0.3">
      <c r="A45" t="s">
        <v>198</v>
      </c>
      <c r="B45" t="s">
        <v>52</v>
      </c>
      <c r="C45" t="s">
        <v>48</v>
      </c>
      <c r="D45" s="33">
        <v>85000</v>
      </c>
      <c r="E45" t="s">
        <v>55</v>
      </c>
      <c r="F45" s="34">
        <v>44429</v>
      </c>
    </row>
    <row r="46" spans="1:6" x14ac:dyDescent="0.3">
      <c r="A46" t="s">
        <v>199</v>
      </c>
      <c r="B46" t="s">
        <v>47</v>
      </c>
      <c r="C46" t="s">
        <v>164</v>
      </c>
      <c r="D46" s="33">
        <v>41000</v>
      </c>
      <c r="E46" t="s">
        <v>189</v>
      </c>
      <c r="F46" s="34">
        <v>44475</v>
      </c>
    </row>
    <row r="47" spans="1:6" x14ac:dyDescent="0.3">
      <c r="A47" t="s">
        <v>194</v>
      </c>
      <c r="B47" t="s">
        <v>52</v>
      </c>
      <c r="C47" t="s">
        <v>57</v>
      </c>
      <c r="D47" s="33">
        <v>49000</v>
      </c>
      <c r="E47" t="s">
        <v>185</v>
      </c>
      <c r="F47" s="34">
        <v>44532</v>
      </c>
    </row>
    <row r="48" spans="1:6" x14ac:dyDescent="0.3">
      <c r="A48" t="s">
        <v>196</v>
      </c>
      <c r="B48" t="s">
        <v>52</v>
      </c>
      <c r="C48" t="s">
        <v>63</v>
      </c>
      <c r="D48" s="33">
        <v>44000</v>
      </c>
      <c r="E48" t="s">
        <v>79</v>
      </c>
      <c r="F48" s="34">
        <v>45174</v>
      </c>
    </row>
    <row r="49" spans="1:6" x14ac:dyDescent="0.3">
      <c r="A49" t="s">
        <v>203</v>
      </c>
      <c r="B49" t="s">
        <v>52</v>
      </c>
      <c r="C49" t="s">
        <v>53</v>
      </c>
      <c r="D49" s="33">
        <v>56000</v>
      </c>
      <c r="E49" t="s">
        <v>191</v>
      </c>
      <c r="F49" s="34">
        <v>45492</v>
      </c>
    </row>
    <row r="50" spans="1:6" x14ac:dyDescent="0.3">
      <c r="A50" t="s">
        <v>193</v>
      </c>
      <c r="B50" t="s">
        <v>47</v>
      </c>
      <c r="C50" t="s">
        <v>67</v>
      </c>
      <c r="D50" s="33">
        <v>30000</v>
      </c>
      <c r="E50" t="s">
        <v>189</v>
      </c>
      <c r="F50" s="34">
        <v>45070</v>
      </c>
    </row>
    <row r="51" spans="1:6" x14ac:dyDescent="0.3">
      <c r="A51" t="s">
        <v>199</v>
      </c>
      <c r="B51" t="s">
        <v>52</v>
      </c>
      <c r="C51" t="s">
        <v>53</v>
      </c>
      <c r="D51" s="33">
        <v>62000</v>
      </c>
      <c r="E51" t="s">
        <v>189</v>
      </c>
      <c r="F51" s="34">
        <v>45197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6AB56-5474-4563-9D4F-045193C4C622}">
  <dimension ref="A1:R51"/>
  <sheetViews>
    <sheetView workbookViewId="0">
      <selection sqref="A1:O51"/>
    </sheetView>
  </sheetViews>
  <sheetFormatPr defaultRowHeight="14.4" x14ac:dyDescent="0.3"/>
  <cols>
    <col min="1" max="1" width="11.88671875" bestFit="1" customWidth="1"/>
    <col min="2" max="2" width="15.21875" bestFit="1" customWidth="1"/>
    <col min="5" max="5" width="7.109375" bestFit="1" customWidth="1"/>
    <col min="6" max="6" width="16.33203125" bestFit="1" customWidth="1"/>
    <col min="10" max="10" width="10.6640625" bestFit="1" customWidth="1"/>
    <col min="11" max="11" width="16.44140625" bestFit="1" customWidth="1"/>
    <col min="15" max="15" width="11.33203125" bestFit="1" customWidth="1"/>
    <col min="17" max="17" width="11.21875" bestFit="1" customWidth="1"/>
    <col min="18" max="18" width="10.6640625" bestFit="1" customWidth="1"/>
  </cols>
  <sheetData>
    <row r="1" spans="1:18" x14ac:dyDescent="0.3">
      <c r="A1" s="35" t="s">
        <v>211</v>
      </c>
      <c r="B1" s="35" t="s">
        <v>212</v>
      </c>
      <c r="C1" s="35" t="s">
        <v>43</v>
      </c>
      <c r="D1" s="35" t="s">
        <v>37</v>
      </c>
      <c r="E1" s="35" t="s">
        <v>38</v>
      </c>
      <c r="F1" s="35" t="s">
        <v>213</v>
      </c>
      <c r="G1" s="35" t="s">
        <v>214</v>
      </c>
      <c r="H1" s="35" t="s">
        <v>215</v>
      </c>
      <c r="I1" s="35" t="s">
        <v>216</v>
      </c>
      <c r="J1" s="35" t="s">
        <v>217</v>
      </c>
      <c r="K1" s="35" t="s">
        <v>218</v>
      </c>
      <c r="L1" s="35" t="s">
        <v>219</v>
      </c>
      <c r="M1" s="35" t="s">
        <v>220</v>
      </c>
      <c r="N1" s="35" t="s">
        <v>221</v>
      </c>
      <c r="O1" s="35" t="s">
        <v>222</v>
      </c>
    </row>
    <row r="2" spans="1:18" x14ac:dyDescent="0.3">
      <c r="A2" t="s">
        <v>223</v>
      </c>
      <c r="B2" t="s">
        <v>200</v>
      </c>
      <c r="C2" t="s">
        <v>96</v>
      </c>
      <c r="D2">
        <v>25</v>
      </c>
      <c r="E2" t="s">
        <v>47</v>
      </c>
      <c r="F2" t="s">
        <v>14</v>
      </c>
      <c r="G2" t="s">
        <v>224</v>
      </c>
      <c r="H2" s="33">
        <v>12000</v>
      </c>
      <c r="I2">
        <v>2</v>
      </c>
      <c r="J2" s="34">
        <v>46058</v>
      </c>
      <c r="K2" t="s">
        <v>225</v>
      </c>
      <c r="L2" s="33">
        <v>550000</v>
      </c>
      <c r="M2">
        <v>3</v>
      </c>
      <c r="N2" s="36">
        <v>10.9</v>
      </c>
      <c r="O2" t="s">
        <v>226</v>
      </c>
    </row>
    <row r="3" spans="1:18" x14ac:dyDescent="0.3">
      <c r="A3" t="s">
        <v>227</v>
      </c>
      <c r="B3" t="s">
        <v>196</v>
      </c>
      <c r="C3" t="s">
        <v>50</v>
      </c>
      <c r="D3">
        <v>24</v>
      </c>
      <c r="E3" t="s">
        <v>47</v>
      </c>
      <c r="F3" t="s">
        <v>228</v>
      </c>
      <c r="G3" t="s">
        <v>229</v>
      </c>
      <c r="H3" s="33">
        <v>2500</v>
      </c>
      <c r="I3">
        <v>5</v>
      </c>
      <c r="J3" s="34">
        <v>46073</v>
      </c>
      <c r="K3" t="s">
        <v>230</v>
      </c>
      <c r="L3" s="33">
        <v>180000</v>
      </c>
      <c r="M3">
        <v>9</v>
      </c>
      <c r="N3" s="36">
        <v>10.9</v>
      </c>
      <c r="O3" t="s">
        <v>226</v>
      </c>
    </row>
    <row r="4" spans="1:18" x14ac:dyDescent="0.3">
      <c r="A4" t="s">
        <v>231</v>
      </c>
      <c r="B4" t="s">
        <v>232</v>
      </c>
      <c r="C4" t="s">
        <v>233</v>
      </c>
      <c r="D4">
        <v>47</v>
      </c>
      <c r="E4" t="s">
        <v>47</v>
      </c>
      <c r="F4" t="s">
        <v>234</v>
      </c>
      <c r="G4" t="s">
        <v>235</v>
      </c>
      <c r="H4" s="33">
        <v>2900</v>
      </c>
      <c r="I4">
        <v>3</v>
      </c>
      <c r="J4" s="34">
        <v>46062</v>
      </c>
      <c r="K4" t="s">
        <v>236</v>
      </c>
      <c r="L4" s="33">
        <v>250000</v>
      </c>
      <c r="M4">
        <v>3</v>
      </c>
      <c r="N4" s="36">
        <v>8.9</v>
      </c>
      <c r="O4" t="s">
        <v>226</v>
      </c>
    </row>
    <row r="5" spans="1:18" x14ac:dyDescent="0.3">
      <c r="A5" t="s">
        <v>237</v>
      </c>
      <c r="B5" t="s">
        <v>201</v>
      </c>
      <c r="C5" t="s">
        <v>83</v>
      </c>
      <c r="D5">
        <v>49</v>
      </c>
      <c r="E5" t="s">
        <v>52</v>
      </c>
      <c r="F5" t="s">
        <v>238</v>
      </c>
      <c r="G5" t="s">
        <v>239</v>
      </c>
      <c r="H5" s="33">
        <v>1800</v>
      </c>
      <c r="I5">
        <v>1</v>
      </c>
      <c r="J5" s="34">
        <v>46140</v>
      </c>
      <c r="K5" t="s">
        <v>225</v>
      </c>
      <c r="L5" s="33">
        <v>300000</v>
      </c>
      <c r="M5">
        <v>3</v>
      </c>
      <c r="N5" s="36">
        <v>10.7</v>
      </c>
      <c r="O5" t="s">
        <v>226</v>
      </c>
    </row>
    <row r="6" spans="1:18" x14ac:dyDescent="0.3">
      <c r="A6" t="s">
        <v>240</v>
      </c>
      <c r="B6" t="s">
        <v>241</v>
      </c>
      <c r="C6" t="s">
        <v>103</v>
      </c>
      <c r="D6">
        <v>28</v>
      </c>
      <c r="E6" t="s">
        <v>47</v>
      </c>
      <c r="F6" t="s">
        <v>7</v>
      </c>
      <c r="G6" t="s">
        <v>242</v>
      </c>
      <c r="H6" s="33">
        <v>18000</v>
      </c>
      <c r="I6">
        <v>3</v>
      </c>
      <c r="J6" s="34">
        <v>46043</v>
      </c>
      <c r="K6" t="s">
        <v>236</v>
      </c>
      <c r="L6" s="33">
        <v>100000</v>
      </c>
      <c r="M6">
        <v>8</v>
      </c>
      <c r="N6" s="36">
        <v>9.6</v>
      </c>
      <c r="O6" t="s">
        <v>226</v>
      </c>
    </row>
    <row r="7" spans="1:18" x14ac:dyDescent="0.3">
      <c r="A7" t="s">
        <v>243</v>
      </c>
      <c r="B7" t="s">
        <v>244</v>
      </c>
      <c r="C7" t="s">
        <v>245</v>
      </c>
      <c r="D7">
        <v>33</v>
      </c>
      <c r="E7" t="s">
        <v>52</v>
      </c>
      <c r="F7" t="s">
        <v>228</v>
      </c>
      <c r="G7" t="s">
        <v>246</v>
      </c>
      <c r="H7" s="33">
        <v>4200</v>
      </c>
      <c r="I7">
        <v>1</v>
      </c>
      <c r="J7" s="34">
        <v>46178</v>
      </c>
      <c r="K7" t="s">
        <v>236</v>
      </c>
      <c r="L7" s="33">
        <v>550000</v>
      </c>
      <c r="M7">
        <v>5</v>
      </c>
      <c r="N7" s="36">
        <v>9.1999999999999993</v>
      </c>
      <c r="O7" t="s">
        <v>247</v>
      </c>
    </row>
    <row r="8" spans="1:18" x14ac:dyDescent="0.3">
      <c r="A8" t="s">
        <v>248</v>
      </c>
      <c r="B8" t="s">
        <v>249</v>
      </c>
      <c r="C8" t="s">
        <v>65</v>
      </c>
      <c r="D8">
        <v>51</v>
      </c>
      <c r="E8" t="s">
        <v>47</v>
      </c>
      <c r="F8" t="s">
        <v>14</v>
      </c>
      <c r="G8" t="s">
        <v>250</v>
      </c>
      <c r="H8" s="33">
        <v>4500</v>
      </c>
      <c r="I8">
        <v>2</v>
      </c>
      <c r="J8" s="34">
        <v>46031</v>
      </c>
      <c r="K8" t="s">
        <v>251</v>
      </c>
      <c r="L8" s="33">
        <v>300000</v>
      </c>
      <c r="M8">
        <v>6</v>
      </c>
      <c r="N8" s="36">
        <v>8.8000000000000007</v>
      </c>
      <c r="O8" t="s">
        <v>226</v>
      </c>
      <c r="Q8" t="s">
        <v>349</v>
      </c>
      <c r="R8" t="s">
        <v>350</v>
      </c>
    </row>
    <row r="9" spans="1:18" x14ac:dyDescent="0.3">
      <c r="A9" t="s">
        <v>252</v>
      </c>
      <c r="B9" t="s">
        <v>253</v>
      </c>
      <c r="C9" t="s">
        <v>254</v>
      </c>
      <c r="D9">
        <v>42</v>
      </c>
      <c r="E9" t="s">
        <v>52</v>
      </c>
      <c r="F9" t="s">
        <v>234</v>
      </c>
      <c r="G9" t="s">
        <v>255</v>
      </c>
      <c r="H9" s="33">
        <v>850</v>
      </c>
      <c r="I9">
        <v>2</v>
      </c>
      <c r="J9" s="34">
        <v>46090</v>
      </c>
      <c r="K9" t="s">
        <v>236</v>
      </c>
      <c r="L9" s="33">
        <v>180000</v>
      </c>
      <c r="M9">
        <v>10</v>
      </c>
      <c r="N9" s="36">
        <v>10.7</v>
      </c>
      <c r="O9" t="s">
        <v>247</v>
      </c>
      <c r="P9" t="s">
        <v>351</v>
      </c>
      <c r="Q9" t="s">
        <v>352</v>
      </c>
      <c r="R9" t="s">
        <v>353</v>
      </c>
    </row>
    <row r="10" spans="1:18" x14ac:dyDescent="0.3">
      <c r="A10" t="s">
        <v>256</v>
      </c>
      <c r="B10" t="s">
        <v>257</v>
      </c>
      <c r="C10" t="s">
        <v>258</v>
      </c>
      <c r="D10">
        <v>40</v>
      </c>
      <c r="E10" t="s">
        <v>52</v>
      </c>
      <c r="F10" t="s">
        <v>14</v>
      </c>
      <c r="G10" t="s">
        <v>224</v>
      </c>
      <c r="H10" s="33">
        <v>12000</v>
      </c>
      <c r="I10">
        <v>2</v>
      </c>
      <c r="J10" s="34">
        <v>46153</v>
      </c>
      <c r="K10" t="s">
        <v>230</v>
      </c>
      <c r="L10" s="33">
        <v>90000</v>
      </c>
      <c r="M10">
        <v>2</v>
      </c>
      <c r="N10" s="36">
        <v>11.9</v>
      </c>
      <c r="O10" t="s">
        <v>226</v>
      </c>
      <c r="P10" t="s">
        <v>248</v>
      </c>
      <c r="Q10" t="str">
        <f>VLOOKUP($A8,$A1:O51,11,FALSE)</f>
        <v>Net Banking</v>
      </c>
      <c r="R10">
        <f>INDEX($L1:L51,MATCH($A8,$A1:A51,FALSE))</f>
        <v>300000</v>
      </c>
    </row>
    <row r="11" spans="1:18" x14ac:dyDescent="0.3">
      <c r="A11" t="s">
        <v>259</v>
      </c>
      <c r="B11" t="s">
        <v>260</v>
      </c>
      <c r="C11" t="s">
        <v>96</v>
      </c>
      <c r="D11">
        <v>27</v>
      </c>
      <c r="E11" t="s">
        <v>52</v>
      </c>
      <c r="F11" t="s">
        <v>238</v>
      </c>
      <c r="G11" t="s">
        <v>261</v>
      </c>
      <c r="H11" s="33">
        <v>1200</v>
      </c>
      <c r="I11">
        <v>4</v>
      </c>
      <c r="J11" s="34">
        <v>46120</v>
      </c>
      <c r="K11" t="s">
        <v>230</v>
      </c>
      <c r="L11" s="33">
        <v>500000</v>
      </c>
      <c r="M11">
        <v>6</v>
      </c>
      <c r="N11" s="36">
        <v>12.4</v>
      </c>
      <c r="O11" t="s">
        <v>226</v>
      </c>
      <c r="P11" t="s">
        <v>252</v>
      </c>
      <c r="Q11" t="str">
        <f>VLOOKUP($A9,$A2:O52,11,FALSE)</f>
        <v>Credit Card</v>
      </c>
      <c r="R11">
        <f>INDEX($L2:L52,MATCH($A9,$A2:A52,FALSE))</f>
        <v>180000</v>
      </c>
    </row>
    <row r="12" spans="1:18" x14ac:dyDescent="0.3">
      <c r="A12" t="s">
        <v>262</v>
      </c>
      <c r="B12" t="s">
        <v>181</v>
      </c>
      <c r="C12" t="s">
        <v>96</v>
      </c>
      <c r="D12">
        <v>45</v>
      </c>
      <c r="E12" t="s">
        <v>47</v>
      </c>
      <c r="F12" t="s">
        <v>238</v>
      </c>
      <c r="G12" t="s">
        <v>239</v>
      </c>
      <c r="H12" s="33">
        <v>1800</v>
      </c>
      <c r="I12">
        <v>3</v>
      </c>
      <c r="J12" s="34">
        <v>46051</v>
      </c>
      <c r="K12" t="s">
        <v>251</v>
      </c>
      <c r="L12" s="33">
        <v>350000</v>
      </c>
      <c r="M12">
        <v>4</v>
      </c>
      <c r="N12" s="36">
        <v>10.3</v>
      </c>
      <c r="O12" t="s">
        <v>226</v>
      </c>
      <c r="P12" t="s">
        <v>256</v>
      </c>
      <c r="Q12" t="str">
        <f>VLOOKUP($A10,$A3:O53,11,FALSE)</f>
        <v>Cash</v>
      </c>
      <c r="R12">
        <f>INDEX($L3:L53,MATCH($A10,$A3:A53,FALSE))</f>
        <v>90000</v>
      </c>
    </row>
    <row r="13" spans="1:18" x14ac:dyDescent="0.3">
      <c r="A13" t="s">
        <v>263</v>
      </c>
      <c r="B13" t="s">
        <v>264</v>
      </c>
      <c r="C13" t="s">
        <v>87</v>
      </c>
      <c r="D13">
        <v>46</v>
      </c>
      <c r="E13" t="s">
        <v>47</v>
      </c>
      <c r="F13" t="s">
        <v>238</v>
      </c>
      <c r="G13" t="s">
        <v>261</v>
      </c>
      <c r="H13" s="33">
        <v>1200</v>
      </c>
      <c r="I13">
        <v>3</v>
      </c>
      <c r="J13" s="34">
        <v>46186</v>
      </c>
      <c r="K13" t="s">
        <v>236</v>
      </c>
      <c r="L13" s="33">
        <v>120000</v>
      </c>
      <c r="M13">
        <v>7</v>
      </c>
      <c r="N13" s="36">
        <v>11.6</v>
      </c>
      <c r="O13" t="s">
        <v>226</v>
      </c>
      <c r="P13" t="s">
        <v>259</v>
      </c>
      <c r="Q13" t="str">
        <f>VLOOKUP($A11,$A4:O54,11,FALSE)</f>
        <v>Cash</v>
      </c>
      <c r="R13">
        <f>INDEX($L4:L54,MATCH($A11,$A4:A54,FALSE))</f>
        <v>500000</v>
      </c>
    </row>
    <row r="14" spans="1:18" x14ac:dyDescent="0.3">
      <c r="A14" t="s">
        <v>265</v>
      </c>
      <c r="B14" t="s">
        <v>266</v>
      </c>
      <c r="C14" t="s">
        <v>103</v>
      </c>
      <c r="D14">
        <v>32</v>
      </c>
      <c r="E14" t="s">
        <v>52</v>
      </c>
      <c r="F14" t="s">
        <v>7</v>
      </c>
      <c r="G14" t="s">
        <v>267</v>
      </c>
      <c r="H14" s="33">
        <v>1800</v>
      </c>
      <c r="I14">
        <v>3</v>
      </c>
      <c r="J14" s="34">
        <v>46101</v>
      </c>
      <c r="K14" t="s">
        <v>236</v>
      </c>
      <c r="L14" s="33">
        <v>80000</v>
      </c>
      <c r="M14">
        <v>5</v>
      </c>
      <c r="N14" s="36">
        <v>12</v>
      </c>
      <c r="O14" t="s">
        <v>226</v>
      </c>
      <c r="P14" t="s">
        <v>262</v>
      </c>
      <c r="Q14" t="str">
        <f>VLOOKUP($A12,$A5:O55,11,FALSE)</f>
        <v>Net Banking</v>
      </c>
      <c r="R14">
        <f>INDEX($L5:L55,MATCH($A12,$A5:A55,FALSE))</f>
        <v>350000</v>
      </c>
    </row>
    <row r="15" spans="1:18" x14ac:dyDescent="0.3">
      <c r="A15" t="s">
        <v>268</v>
      </c>
      <c r="B15" t="s">
        <v>199</v>
      </c>
      <c r="C15" t="s">
        <v>55</v>
      </c>
      <c r="D15">
        <v>45</v>
      </c>
      <c r="E15" t="s">
        <v>52</v>
      </c>
      <c r="F15" t="s">
        <v>7</v>
      </c>
      <c r="G15" t="s">
        <v>269</v>
      </c>
      <c r="H15" s="33">
        <v>6500</v>
      </c>
      <c r="I15">
        <v>2</v>
      </c>
      <c r="J15" s="34">
        <v>46055</v>
      </c>
      <c r="K15" t="s">
        <v>230</v>
      </c>
      <c r="L15" s="33">
        <v>550000</v>
      </c>
      <c r="M15">
        <v>4</v>
      </c>
      <c r="N15" s="36">
        <v>9.6</v>
      </c>
      <c r="O15" t="s">
        <v>247</v>
      </c>
      <c r="P15" t="s">
        <v>263</v>
      </c>
      <c r="Q15" t="str">
        <f>VLOOKUP($A13,$A6:O56,11,FALSE)</f>
        <v>Credit Card</v>
      </c>
      <c r="R15">
        <f>INDEX($L6:L56,MATCH($A13,$A6:A56,FALSE))</f>
        <v>120000</v>
      </c>
    </row>
    <row r="16" spans="1:18" x14ac:dyDescent="0.3">
      <c r="A16" t="s">
        <v>270</v>
      </c>
      <c r="B16" t="s">
        <v>271</v>
      </c>
      <c r="C16" t="s">
        <v>254</v>
      </c>
      <c r="D16">
        <v>51</v>
      </c>
      <c r="E16" t="s">
        <v>47</v>
      </c>
      <c r="F16" t="s">
        <v>14</v>
      </c>
      <c r="G16" t="s">
        <v>272</v>
      </c>
      <c r="H16" s="33">
        <v>35000</v>
      </c>
      <c r="I16">
        <v>3</v>
      </c>
      <c r="J16" s="34">
        <v>46135</v>
      </c>
      <c r="K16" t="s">
        <v>230</v>
      </c>
      <c r="L16" s="33">
        <v>100000</v>
      </c>
      <c r="M16">
        <v>5</v>
      </c>
      <c r="N16" s="36">
        <v>9.4</v>
      </c>
      <c r="O16" t="s">
        <v>226</v>
      </c>
      <c r="P16" t="s">
        <v>265</v>
      </c>
      <c r="Q16" t="str">
        <f>VLOOKUP($A14,$A7:O57,11,FALSE)</f>
        <v>Credit Card</v>
      </c>
      <c r="R16">
        <f>INDEX($L7:L57,MATCH($A14,$A7:A57,FALSE))</f>
        <v>80000</v>
      </c>
    </row>
    <row r="17" spans="1:18" x14ac:dyDescent="0.3">
      <c r="A17" t="s">
        <v>273</v>
      </c>
      <c r="B17" t="s">
        <v>197</v>
      </c>
      <c r="C17" t="s">
        <v>50</v>
      </c>
      <c r="D17">
        <v>40</v>
      </c>
      <c r="E17" t="s">
        <v>47</v>
      </c>
      <c r="F17" t="s">
        <v>238</v>
      </c>
      <c r="G17" t="s">
        <v>274</v>
      </c>
      <c r="H17" s="33">
        <v>850</v>
      </c>
      <c r="I17">
        <v>1</v>
      </c>
      <c r="J17" s="34">
        <v>46041</v>
      </c>
      <c r="K17" t="s">
        <v>225</v>
      </c>
      <c r="L17" s="33">
        <v>180000</v>
      </c>
      <c r="M17">
        <v>3</v>
      </c>
      <c r="N17" s="36">
        <v>12.1</v>
      </c>
      <c r="O17" t="s">
        <v>226</v>
      </c>
      <c r="P17" t="s">
        <v>268</v>
      </c>
      <c r="Q17" t="str">
        <f>VLOOKUP($A15,$A8:O58,11,FALSE)</f>
        <v>Cash</v>
      </c>
      <c r="R17">
        <f>INDEX($L8:L58,MATCH($A15,$A8:A58,FALSE))</f>
        <v>550000</v>
      </c>
    </row>
    <row r="18" spans="1:18" x14ac:dyDescent="0.3">
      <c r="A18" t="s">
        <v>275</v>
      </c>
      <c r="B18" t="s">
        <v>276</v>
      </c>
      <c r="C18" t="s">
        <v>55</v>
      </c>
      <c r="D18">
        <v>38</v>
      </c>
      <c r="E18" t="s">
        <v>47</v>
      </c>
      <c r="F18" t="s">
        <v>14</v>
      </c>
      <c r="G18" t="s">
        <v>277</v>
      </c>
      <c r="H18" s="33">
        <v>42000</v>
      </c>
      <c r="I18">
        <v>4</v>
      </c>
      <c r="J18" s="34">
        <v>46077</v>
      </c>
      <c r="K18" t="s">
        <v>236</v>
      </c>
      <c r="L18" s="33">
        <v>600000</v>
      </c>
      <c r="M18">
        <v>9</v>
      </c>
      <c r="N18" s="36">
        <v>9.5</v>
      </c>
      <c r="O18" t="s">
        <v>247</v>
      </c>
      <c r="P18" t="s">
        <v>270</v>
      </c>
      <c r="Q18" t="str">
        <f>VLOOKUP($A16,$A9:O59,11,FALSE)</f>
        <v>Cash</v>
      </c>
      <c r="R18">
        <f>INDEX($L9:L59,MATCH($A16,$A9:A59,FALSE))</f>
        <v>100000</v>
      </c>
    </row>
    <row r="19" spans="1:18" x14ac:dyDescent="0.3">
      <c r="A19" t="s">
        <v>278</v>
      </c>
      <c r="B19" t="s">
        <v>279</v>
      </c>
      <c r="C19" t="s">
        <v>233</v>
      </c>
      <c r="D19">
        <v>35</v>
      </c>
      <c r="E19" t="s">
        <v>47</v>
      </c>
      <c r="F19" t="s">
        <v>7</v>
      </c>
      <c r="G19" t="s">
        <v>267</v>
      </c>
      <c r="H19" s="33">
        <v>1800</v>
      </c>
      <c r="I19">
        <v>4</v>
      </c>
      <c r="J19" s="34">
        <v>46113</v>
      </c>
      <c r="K19" t="s">
        <v>230</v>
      </c>
      <c r="L19" s="33">
        <v>350000</v>
      </c>
      <c r="M19">
        <v>9</v>
      </c>
      <c r="N19" s="36">
        <v>12</v>
      </c>
      <c r="O19" t="s">
        <v>226</v>
      </c>
    </row>
    <row r="20" spans="1:18" x14ac:dyDescent="0.3">
      <c r="A20" t="s">
        <v>280</v>
      </c>
      <c r="B20" t="s">
        <v>281</v>
      </c>
      <c r="C20" t="s">
        <v>96</v>
      </c>
      <c r="D20">
        <v>42</v>
      </c>
      <c r="E20" t="s">
        <v>47</v>
      </c>
      <c r="F20" t="s">
        <v>7</v>
      </c>
      <c r="G20" t="s">
        <v>282</v>
      </c>
      <c r="H20" s="33">
        <v>45000</v>
      </c>
      <c r="I20">
        <v>3</v>
      </c>
      <c r="J20" s="34">
        <v>46050</v>
      </c>
      <c r="K20" t="s">
        <v>236</v>
      </c>
      <c r="L20" s="33">
        <v>175000</v>
      </c>
      <c r="M20">
        <v>5</v>
      </c>
      <c r="N20" s="36">
        <v>10.6</v>
      </c>
      <c r="O20" t="s">
        <v>226</v>
      </c>
    </row>
    <row r="21" spans="1:18" x14ac:dyDescent="0.3">
      <c r="A21" t="s">
        <v>283</v>
      </c>
      <c r="B21" t="s">
        <v>284</v>
      </c>
      <c r="C21" t="s">
        <v>79</v>
      </c>
      <c r="D21">
        <v>27</v>
      </c>
      <c r="E21" t="s">
        <v>52</v>
      </c>
      <c r="F21" t="s">
        <v>234</v>
      </c>
      <c r="G21" t="s">
        <v>285</v>
      </c>
      <c r="H21" s="33">
        <v>2200</v>
      </c>
      <c r="I21">
        <v>1</v>
      </c>
      <c r="J21" s="34">
        <v>46136</v>
      </c>
      <c r="K21" t="s">
        <v>225</v>
      </c>
      <c r="L21" s="33">
        <v>80000</v>
      </c>
      <c r="M21">
        <v>10</v>
      </c>
      <c r="N21" s="36">
        <v>11.8</v>
      </c>
      <c r="O21" t="s">
        <v>226</v>
      </c>
    </row>
    <row r="22" spans="1:18" x14ac:dyDescent="0.3">
      <c r="A22" t="s">
        <v>286</v>
      </c>
      <c r="B22" t="s">
        <v>287</v>
      </c>
      <c r="C22" t="s">
        <v>258</v>
      </c>
      <c r="D22">
        <v>46</v>
      </c>
      <c r="E22" t="s">
        <v>47</v>
      </c>
      <c r="F22" t="s">
        <v>228</v>
      </c>
      <c r="G22" t="s">
        <v>288</v>
      </c>
      <c r="H22" s="33">
        <v>1900</v>
      </c>
      <c r="I22">
        <v>4</v>
      </c>
      <c r="J22" s="34">
        <v>46146</v>
      </c>
      <c r="K22" t="s">
        <v>236</v>
      </c>
      <c r="L22" s="33">
        <v>300000</v>
      </c>
      <c r="M22">
        <v>2</v>
      </c>
      <c r="N22" s="36">
        <v>9.1999999999999993</v>
      </c>
      <c r="O22" t="s">
        <v>226</v>
      </c>
    </row>
    <row r="23" spans="1:18" x14ac:dyDescent="0.3">
      <c r="A23" t="s">
        <v>289</v>
      </c>
      <c r="B23" t="s">
        <v>290</v>
      </c>
      <c r="C23" t="s">
        <v>79</v>
      </c>
      <c r="D23">
        <v>30</v>
      </c>
      <c r="E23" t="s">
        <v>52</v>
      </c>
      <c r="F23" t="s">
        <v>14</v>
      </c>
      <c r="G23" t="s">
        <v>272</v>
      </c>
      <c r="H23" s="33">
        <v>35000</v>
      </c>
      <c r="I23">
        <v>5</v>
      </c>
      <c r="J23" s="34">
        <v>46192</v>
      </c>
      <c r="K23" t="s">
        <v>230</v>
      </c>
      <c r="L23" s="33">
        <v>120000</v>
      </c>
      <c r="M23">
        <v>5</v>
      </c>
      <c r="N23" s="36">
        <v>9.6999999999999993</v>
      </c>
      <c r="O23" t="s">
        <v>226</v>
      </c>
    </row>
    <row r="24" spans="1:18" x14ac:dyDescent="0.3">
      <c r="A24" t="s">
        <v>291</v>
      </c>
      <c r="B24" t="s">
        <v>202</v>
      </c>
      <c r="C24" t="s">
        <v>103</v>
      </c>
      <c r="D24">
        <v>45</v>
      </c>
      <c r="E24" t="s">
        <v>47</v>
      </c>
      <c r="F24" t="s">
        <v>14</v>
      </c>
      <c r="G24" t="s">
        <v>250</v>
      </c>
      <c r="H24" s="33">
        <v>4500</v>
      </c>
      <c r="I24">
        <v>1</v>
      </c>
      <c r="J24" s="34">
        <v>46172</v>
      </c>
      <c r="K24" t="s">
        <v>230</v>
      </c>
      <c r="L24" s="33">
        <v>500000</v>
      </c>
      <c r="M24">
        <v>10</v>
      </c>
      <c r="N24" s="36">
        <v>9.1</v>
      </c>
      <c r="O24" t="s">
        <v>226</v>
      </c>
    </row>
    <row r="25" spans="1:18" x14ac:dyDescent="0.3">
      <c r="A25" t="s">
        <v>292</v>
      </c>
      <c r="B25" t="s">
        <v>192</v>
      </c>
      <c r="C25" t="s">
        <v>185</v>
      </c>
      <c r="D25">
        <v>27</v>
      </c>
      <c r="E25" t="s">
        <v>47</v>
      </c>
      <c r="F25" t="s">
        <v>238</v>
      </c>
      <c r="G25" t="s">
        <v>261</v>
      </c>
      <c r="H25" s="33">
        <v>1200</v>
      </c>
      <c r="I25">
        <v>2</v>
      </c>
      <c r="J25" s="34">
        <v>46126</v>
      </c>
      <c r="K25" t="s">
        <v>225</v>
      </c>
      <c r="L25" s="33">
        <v>600000</v>
      </c>
      <c r="M25">
        <v>5</v>
      </c>
      <c r="N25" s="36">
        <v>10.8</v>
      </c>
      <c r="O25" t="s">
        <v>226</v>
      </c>
    </row>
    <row r="26" spans="1:18" x14ac:dyDescent="0.3">
      <c r="A26" t="s">
        <v>293</v>
      </c>
      <c r="B26" t="s">
        <v>294</v>
      </c>
      <c r="C26" t="s">
        <v>103</v>
      </c>
      <c r="D26">
        <v>24</v>
      </c>
      <c r="E26" t="s">
        <v>52</v>
      </c>
      <c r="F26" t="s">
        <v>238</v>
      </c>
      <c r="G26" t="s">
        <v>295</v>
      </c>
      <c r="H26" s="33">
        <v>700</v>
      </c>
      <c r="I26">
        <v>5</v>
      </c>
      <c r="J26" s="34">
        <v>46103</v>
      </c>
      <c r="K26" t="s">
        <v>251</v>
      </c>
      <c r="L26" s="33">
        <v>175000</v>
      </c>
      <c r="M26">
        <v>7</v>
      </c>
      <c r="N26" s="36">
        <v>9.5</v>
      </c>
      <c r="O26" t="s">
        <v>247</v>
      </c>
    </row>
    <row r="27" spans="1:18" x14ac:dyDescent="0.3">
      <c r="A27" t="s">
        <v>296</v>
      </c>
      <c r="B27" t="s">
        <v>297</v>
      </c>
      <c r="C27" t="s">
        <v>245</v>
      </c>
      <c r="D27">
        <v>43</v>
      </c>
      <c r="E27" t="s">
        <v>52</v>
      </c>
      <c r="F27" t="s">
        <v>234</v>
      </c>
      <c r="G27" t="s">
        <v>235</v>
      </c>
      <c r="H27" s="33">
        <v>2900</v>
      </c>
      <c r="I27">
        <v>1</v>
      </c>
      <c r="J27" s="34">
        <v>46025</v>
      </c>
      <c r="K27" t="s">
        <v>230</v>
      </c>
      <c r="L27" s="33">
        <v>600000</v>
      </c>
      <c r="M27">
        <v>3</v>
      </c>
      <c r="N27" s="36">
        <v>8.8000000000000007</v>
      </c>
      <c r="O27" t="s">
        <v>226</v>
      </c>
    </row>
    <row r="28" spans="1:18" x14ac:dyDescent="0.3">
      <c r="A28" t="s">
        <v>298</v>
      </c>
      <c r="B28" t="s">
        <v>299</v>
      </c>
      <c r="C28" t="s">
        <v>87</v>
      </c>
      <c r="D28">
        <v>30</v>
      </c>
      <c r="E28" t="s">
        <v>47</v>
      </c>
      <c r="F28" t="s">
        <v>14</v>
      </c>
      <c r="G28" t="s">
        <v>250</v>
      </c>
      <c r="H28" s="33">
        <v>4500</v>
      </c>
      <c r="I28">
        <v>2</v>
      </c>
      <c r="J28" s="34">
        <v>46117</v>
      </c>
      <c r="K28" t="s">
        <v>251</v>
      </c>
      <c r="L28" s="33">
        <v>150000</v>
      </c>
      <c r="M28">
        <v>9</v>
      </c>
      <c r="N28" s="36">
        <v>11.8</v>
      </c>
      <c r="O28" t="s">
        <v>226</v>
      </c>
    </row>
    <row r="29" spans="1:18" x14ac:dyDescent="0.3">
      <c r="A29" t="s">
        <v>300</v>
      </c>
      <c r="B29" t="s">
        <v>301</v>
      </c>
      <c r="C29" t="s">
        <v>103</v>
      </c>
      <c r="D29">
        <v>47</v>
      </c>
      <c r="E29" t="s">
        <v>47</v>
      </c>
      <c r="F29" t="s">
        <v>238</v>
      </c>
      <c r="G29" t="s">
        <v>239</v>
      </c>
      <c r="H29" s="33">
        <v>1800</v>
      </c>
      <c r="I29">
        <v>1</v>
      </c>
      <c r="J29" s="34">
        <v>46057</v>
      </c>
      <c r="K29" t="s">
        <v>251</v>
      </c>
      <c r="L29" s="33">
        <v>100000</v>
      </c>
      <c r="M29">
        <v>3</v>
      </c>
      <c r="N29" s="36">
        <v>11.5</v>
      </c>
      <c r="O29" t="s">
        <v>226</v>
      </c>
    </row>
    <row r="30" spans="1:18" x14ac:dyDescent="0.3">
      <c r="A30" t="s">
        <v>302</v>
      </c>
      <c r="B30" t="s">
        <v>303</v>
      </c>
      <c r="C30" t="s">
        <v>65</v>
      </c>
      <c r="D30">
        <v>31</v>
      </c>
      <c r="E30" t="s">
        <v>47</v>
      </c>
      <c r="F30" t="s">
        <v>14</v>
      </c>
      <c r="G30" t="s">
        <v>224</v>
      </c>
      <c r="H30" s="33">
        <v>12000</v>
      </c>
      <c r="I30">
        <v>3</v>
      </c>
      <c r="J30" s="34">
        <v>46152</v>
      </c>
      <c r="K30" t="s">
        <v>230</v>
      </c>
      <c r="L30" s="33">
        <v>200000</v>
      </c>
      <c r="M30">
        <v>2</v>
      </c>
      <c r="N30" s="36">
        <v>8.9</v>
      </c>
      <c r="O30" t="s">
        <v>247</v>
      </c>
    </row>
    <row r="31" spans="1:18" x14ac:dyDescent="0.3">
      <c r="A31" t="s">
        <v>304</v>
      </c>
      <c r="B31" t="s">
        <v>305</v>
      </c>
      <c r="C31" t="s">
        <v>185</v>
      </c>
      <c r="D31">
        <v>30</v>
      </c>
      <c r="E31" t="s">
        <v>47</v>
      </c>
      <c r="F31" t="s">
        <v>7</v>
      </c>
      <c r="G31" t="s">
        <v>306</v>
      </c>
      <c r="H31" s="33">
        <v>32000</v>
      </c>
      <c r="I31">
        <v>2</v>
      </c>
      <c r="J31" s="34">
        <v>46186</v>
      </c>
      <c r="K31" t="s">
        <v>251</v>
      </c>
      <c r="L31" s="33">
        <v>150000</v>
      </c>
      <c r="M31">
        <v>9</v>
      </c>
      <c r="N31" s="36">
        <v>10.7</v>
      </c>
      <c r="O31" t="s">
        <v>247</v>
      </c>
    </row>
    <row r="32" spans="1:18" x14ac:dyDescent="0.3">
      <c r="A32" t="s">
        <v>307</v>
      </c>
      <c r="B32" t="s">
        <v>193</v>
      </c>
      <c r="C32" t="s">
        <v>87</v>
      </c>
      <c r="D32">
        <v>22</v>
      </c>
      <c r="E32" t="s">
        <v>47</v>
      </c>
      <c r="F32" t="s">
        <v>7</v>
      </c>
      <c r="G32" t="s">
        <v>308</v>
      </c>
      <c r="H32" s="33">
        <v>22000</v>
      </c>
      <c r="I32">
        <v>5</v>
      </c>
      <c r="J32" s="34">
        <v>46032</v>
      </c>
      <c r="K32" t="s">
        <v>251</v>
      </c>
      <c r="L32" s="33">
        <v>600000</v>
      </c>
      <c r="M32">
        <v>10</v>
      </c>
      <c r="N32" s="36">
        <v>9.1</v>
      </c>
      <c r="O32" t="s">
        <v>226</v>
      </c>
    </row>
    <row r="33" spans="1:15" x14ac:dyDescent="0.3">
      <c r="A33" t="s">
        <v>309</v>
      </c>
      <c r="B33" t="s">
        <v>310</v>
      </c>
      <c r="C33" t="s">
        <v>50</v>
      </c>
      <c r="D33">
        <v>31</v>
      </c>
      <c r="E33" t="s">
        <v>52</v>
      </c>
      <c r="F33" t="s">
        <v>7</v>
      </c>
      <c r="G33" t="s">
        <v>306</v>
      </c>
      <c r="H33" s="33">
        <v>32000</v>
      </c>
      <c r="I33">
        <v>2</v>
      </c>
      <c r="J33" s="34">
        <v>46197</v>
      </c>
      <c r="K33" t="s">
        <v>236</v>
      </c>
      <c r="L33" s="33">
        <v>100000</v>
      </c>
      <c r="M33">
        <v>7</v>
      </c>
      <c r="N33" s="36">
        <v>11.6</v>
      </c>
      <c r="O33" t="s">
        <v>247</v>
      </c>
    </row>
    <row r="34" spans="1:15" x14ac:dyDescent="0.3">
      <c r="A34" t="s">
        <v>311</v>
      </c>
      <c r="B34" t="s">
        <v>312</v>
      </c>
      <c r="C34" t="s">
        <v>103</v>
      </c>
      <c r="D34">
        <v>45</v>
      </c>
      <c r="E34" t="s">
        <v>47</v>
      </c>
      <c r="F34" t="s">
        <v>228</v>
      </c>
      <c r="G34" t="s">
        <v>313</v>
      </c>
      <c r="H34" s="33">
        <v>2800</v>
      </c>
      <c r="I34">
        <v>2</v>
      </c>
      <c r="J34" s="34">
        <v>46128</v>
      </c>
      <c r="K34" t="s">
        <v>225</v>
      </c>
      <c r="L34" s="33">
        <v>150000</v>
      </c>
      <c r="M34">
        <v>7</v>
      </c>
      <c r="N34" s="36">
        <v>11.6</v>
      </c>
      <c r="O34" t="s">
        <v>247</v>
      </c>
    </row>
    <row r="35" spans="1:15" x14ac:dyDescent="0.3">
      <c r="A35" t="s">
        <v>314</v>
      </c>
      <c r="B35" t="s">
        <v>315</v>
      </c>
      <c r="C35" t="s">
        <v>233</v>
      </c>
      <c r="D35">
        <v>43</v>
      </c>
      <c r="E35" t="s">
        <v>47</v>
      </c>
      <c r="F35" t="s">
        <v>14</v>
      </c>
      <c r="G35" t="s">
        <v>224</v>
      </c>
      <c r="H35" s="33">
        <v>12000</v>
      </c>
      <c r="I35">
        <v>1</v>
      </c>
      <c r="J35" s="34">
        <v>46120</v>
      </c>
      <c r="K35" t="s">
        <v>225</v>
      </c>
      <c r="L35" s="33">
        <v>450000</v>
      </c>
      <c r="M35">
        <v>5</v>
      </c>
      <c r="N35" s="36">
        <v>9.3000000000000007</v>
      </c>
      <c r="O35" t="s">
        <v>247</v>
      </c>
    </row>
    <row r="36" spans="1:15" x14ac:dyDescent="0.3">
      <c r="A36" t="s">
        <v>316</v>
      </c>
      <c r="B36" t="s">
        <v>317</v>
      </c>
      <c r="C36" t="s">
        <v>83</v>
      </c>
      <c r="D36">
        <v>31</v>
      </c>
      <c r="E36" t="s">
        <v>47</v>
      </c>
      <c r="F36" t="s">
        <v>228</v>
      </c>
      <c r="G36" t="s">
        <v>229</v>
      </c>
      <c r="H36" s="33">
        <v>2500</v>
      </c>
      <c r="I36">
        <v>2</v>
      </c>
      <c r="J36" s="34">
        <v>46125</v>
      </c>
      <c r="K36" t="s">
        <v>251</v>
      </c>
      <c r="L36" s="33">
        <v>200000</v>
      </c>
      <c r="M36">
        <v>3</v>
      </c>
      <c r="N36" s="36">
        <v>12.4</v>
      </c>
      <c r="O36" t="s">
        <v>226</v>
      </c>
    </row>
    <row r="37" spans="1:15" x14ac:dyDescent="0.3">
      <c r="A37" t="s">
        <v>318</v>
      </c>
      <c r="B37" t="s">
        <v>319</v>
      </c>
      <c r="C37" t="s">
        <v>83</v>
      </c>
      <c r="D37">
        <v>42</v>
      </c>
      <c r="E37" t="s">
        <v>52</v>
      </c>
      <c r="F37" t="s">
        <v>238</v>
      </c>
      <c r="G37" t="s">
        <v>239</v>
      </c>
      <c r="H37" s="33">
        <v>1800</v>
      </c>
      <c r="I37">
        <v>1</v>
      </c>
      <c r="J37" s="34">
        <v>46052</v>
      </c>
      <c r="K37" t="s">
        <v>251</v>
      </c>
      <c r="L37" s="33">
        <v>150000</v>
      </c>
      <c r="M37">
        <v>6</v>
      </c>
      <c r="N37" s="36">
        <v>8.6999999999999993</v>
      </c>
      <c r="O37" t="s">
        <v>247</v>
      </c>
    </row>
    <row r="38" spans="1:15" x14ac:dyDescent="0.3">
      <c r="A38" t="s">
        <v>320</v>
      </c>
      <c r="B38" t="s">
        <v>321</v>
      </c>
      <c r="C38" t="s">
        <v>83</v>
      </c>
      <c r="D38">
        <v>45</v>
      </c>
      <c r="E38" t="s">
        <v>52</v>
      </c>
      <c r="F38" t="s">
        <v>234</v>
      </c>
      <c r="G38" t="s">
        <v>322</v>
      </c>
      <c r="H38" s="33">
        <v>3200</v>
      </c>
      <c r="I38">
        <v>4</v>
      </c>
      <c r="J38" s="34">
        <v>46170</v>
      </c>
      <c r="K38" t="s">
        <v>236</v>
      </c>
      <c r="L38" s="33">
        <v>200000</v>
      </c>
      <c r="M38">
        <v>2</v>
      </c>
      <c r="N38" s="36">
        <v>11.3</v>
      </c>
      <c r="O38" t="s">
        <v>226</v>
      </c>
    </row>
    <row r="39" spans="1:15" x14ac:dyDescent="0.3">
      <c r="A39" t="s">
        <v>323</v>
      </c>
      <c r="B39" t="s">
        <v>324</v>
      </c>
      <c r="C39" t="s">
        <v>87</v>
      </c>
      <c r="D39">
        <v>51</v>
      </c>
      <c r="E39" t="s">
        <v>47</v>
      </c>
      <c r="F39" t="s">
        <v>14</v>
      </c>
      <c r="G39" t="s">
        <v>272</v>
      </c>
      <c r="H39" s="33">
        <v>35000</v>
      </c>
      <c r="I39">
        <v>1</v>
      </c>
      <c r="J39" s="34">
        <v>46193</v>
      </c>
      <c r="K39" t="s">
        <v>251</v>
      </c>
      <c r="L39" s="33">
        <v>250000</v>
      </c>
      <c r="M39">
        <v>3</v>
      </c>
      <c r="N39" s="36">
        <v>11.4</v>
      </c>
      <c r="O39" t="s">
        <v>226</v>
      </c>
    </row>
    <row r="40" spans="1:15" x14ac:dyDescent="0.3">
      <c r="A40" t="s">
        <v>325</v>
      </c>
      <c r="B40" t="s">
        <v>203</v>
      </c>
      <c r="C40" t="s">
        <v>87</v>
      </c>
      <c r="D40">
        <v>31</v>
      </c>
      <c r="E40" t="s">
        <v>52</v>
      </c>
      <c r="F40" t="s">
        <v>14</v>
      </c>
      <c r="G40" t="s">
        <v>272</v>
      </c>
      <c r="H40" s="33">
        <v>35000</v>
      </c>
      <c r="I40">
        <v>3</v>
      </c>
      <c r="J40" s="34">
        <v>46164</v>
      </c>
      <c r="K40" t="s">
        <v>236</v>
      </c>
      <c r="L40" s="33">
        <v>175000</v>
      </c>
      <c r="M40">
        <v>8</v>
      </c>
      <c r="N40" s="36">
        <v>11.2</v>
      </c>
      <c r="O40" t="s">
        <v>247</v>
      </c>
    </row>
    <row r="41" spans="1:15" x14ac:dyDescent="0.3">
      <c r="A41" t="s">
        <v>326</v>
      </c>
      <c r="B41" t="s">
        <v>327</v>
      </c>
      <c r="C41" t="s">
        <v>96</v>
      </c>
      <c r="D41">
        <v>45</v>
      </c>
      <c r="E41" t="s">
        <v>47</v>
      </c>
      <c r="F41" t="s">
        <v>238</v>
      </c>
      <c r="G41" t="s">
        <v>295</v>
      </c>
      <c r="H41" s="33">
        <v>700</v>
      </c>
      <c r="I41">
        <v>3</v>
      </c>
      <c r="J41" s="34">
        <v>46126</v>
      </c>
      <c r="K41" t="s">
        <v>225</v>
      </c>
      <c r="L41" s="33">
        <v>225000</v>
      </c>
      <c r="M41">
        <v>6</v>
      </c>
      <c r="N41" s="36">
        <v>9.3000000000000007</v>
      </c>
      <c r="O41" t="s">
        <v>226</v>
      </c>
    </row>
    <row r="42" spans="1:15" x14ac:dyDescent="0.3">
      <c r="A42" t="s">
        <v>328</v>
      </c>
      <c r="B42" t="s">
        <v>329</v>
      </c>
      <c r="C42" t="s">
        <v>61</v>
      </c>
      <c r="D42">
        <v>36</v>
      </c>
      <c r="E42" t="s">
        <v>52</v>
      </c>
      <c r="F42" t="s">
        <v>228</v>
      </c>
      <c r="G42" t="s">
        <v>330</v>
      </c>
      <c r="H42" s="33">
        <v>1200</v>
      </c>
      <c r="I42">
        <v>2</v>
      </c>
      <c r="J42" s="34">
        <v>46191</v>
      </c>
      <c r="K42" t="s">
        <v>225</v>
      </c>
      <c r="L42" s="33">
        <v>225000</v>
      </c>
      <c r="M42">
        <v>10</v>
      </c>
      <c r="N42" s="36">
        <v>11.2</v>
      </c>
      <c r="O42" t="s">
        <v>226</v>
      </c>
    </row>
    <row r="43" spans="1:15" x14ac:dyDescent="0.3">
      <c r="A43" t="s">
        <v>331</v>
      </c>
      <c r="B43" t="s">
        <v>332</v>
      </c>
      <c r="C43" t="s">
        <v>55</v>
      </c>
      <c r="D43">
        <v>48</v>
      </c>
      <c r="E43" t="s">
        <v>47</v>
      </c>
      <c r="F43" t="s">
        <v>14</v>
      </c>
      <c r="G43" t="s">
        <v>224</v>
      </c>
      <c r="H43" s="33">
        <v>12000</v>
      </c>
      <c r="I43">
        <v>2</v>
      </c>
      <c r="J43" s="34">
        <v>46060</v>
      </c>
      <c r="K43" t="s">
        <v>225</v>
      </c>
      <c r="L43" s="33">
        <v>80000</v>
      </c>
      <c r="M43">
        <v>5</v>
      </c>
      <c r="N43" s="36">
        <v>12.4</v>
      </c>
      <c r="O43" t="s">
        <v>226</v>
      </c>
    </row>
    <row r="44" spans="1:15" x14ac:dyDescent="0.3">
      <c r="A44" t="s">
        <v>333</v>
      </c>
      <c r="B44" t="s">
        <v>334</v>
      </c>
      <c r="C44" t="s">
        <v>61</v>
      </c>
      <c r="D44">
        <v>35</v>
      </c>
      <c r="E44" t="s">
        <v>47</v>
      </c>
      <c r="F44" t="s">
        <v>234</v>
      </c>
      <c r="G44" t="s">
        <v>255</v>
      </c>
      <c r="H44" s="33">
        <v>850</v>
      </c>
      <c r="I44">
        <v>4</v>
      </c>
      <c r="J44" s="34">
        <v>46085</v>
      </c>
      <c r="K44" t="s">
        <v>236</v>
      </c>
      <c r="L44" s="33">
        <v>70000</v>
      </c>
      <c r="M44">
        <v>3</v>
      </c>
      <c r="N44" s="36">
        <v>11.6</v>
      </c>
      <c r="O44" t="s">
        <v>226</v>
      </c>
    </row>
    <row r="45" spans="1:15" x14ac:dyDescent="0.3">
      <c r="A45" t="s">
        <v>335</v>
      </c>
      <c r="B45" t="s">
        <v>336</v>
      </c>
      <c r="C45" t="s">
        <v>245</v>
      </c>
      <c r="D45">
        <v>47</v>
      </c>
      <c r="E45" t="s">
        <v>52</v>
      </c>
      <c r="F45" t="s">
        <v>7</v>
      </c>
      <c r="G45" t="s">
        <v>269</v>
      </c>
      <c r="H45" s="33">
        <v>6500</v>
      </c>
      <c r="I45">
        <v>2</v>
      </c>
      <c r="J45" s="34">
        <v>46054</v>
      </c>
      <c r="K45" t="s">
        <v>230</v>
      </c>
      <c r="L45" s="33">
        <v>120000</v>
      </c>
      <c r="M45">
        <v>9</v>
      </c>
      <c r="N45" s="36">
        <v>11.2</v>
      </c>
      <c r="O45" t="s">
        <v>226</v>
      </c>
    </row>
    <row r="46" spans="1:15" x14ac:dyDescent="0.3">
      <c r="A46" t="s">
        <v>337</v>
      </c>
      <c r="B46" t="s">
        <v>187</v>
      </c>
      <c r="C46" t="s">
        <v>233</v>
      </c>
      <c r="D46">
        <v>50</v>
      </c>
      <c r="E46" t="s">
        <v>52</v>
      </c>
      <c r="F46" t="s">
        <v>238</v>
      </c>
      <c r="G46" t="s">
        <v>295</v>
      </c>
      <c r="H46" s="33">
        <v>700</v>
      </c>
      <c r="I46">
        <v>4</v>
      </c>
      <c r="J46" s="34">
        <v>46163</v>
      </c>
      <c r="K46" t="s">
        <v>230</v>
      </c>
      <c r="L46" s="33">
        <v>150000</v>
      </c>
      <c r="M46">
        <v>9</v>
      </c>
      <c r="N46" s="36">
        <v>10.3</v>
      </c>
      <c r="O46" t="s">
        <v>226</v>
      </c>
    </row>
    <row r="47" spans="1:15" x14ac:dyDescent="0.3">
      <c r="A47" t="s">
        <v>338</v>
      </c>
      <c r="B47" t="s">
        <v>339</v>
      </c>
      <c r="C47" t="s">
        <v>185</v>
      </c>
      <c r="D47">
        <v>42</v>
      </c>
      <c r="E47" t="s">
        <v>52</v>
      </c>
      <c r="F47" t="s">
        <v>238</v>
      </c>
      <c r="G47" t="s">
        <v>340</v>
      </c>
      <c r="H47" s="33">
        <v>1600</v>
      </c>
      <c r="I47">
        <v>2</v>
      </c>
      <c r="J47" s="34">
        <v>46093</v>
      </c>
      <c r="K47" t="s">
        <v>230</v>
      </c>
      <c r="L47" s="33">
        <v>90000</v>
      </c>
      <c r="M47">
        <v>6</v>
      </c>
      <c r="N47" s="36">
        <v>9.4</v>
      </c>
      <c r="O47" t="s">
        <v>226</v>
      </c>
    </row>
    <row r="48" spans="1:15" x14ac:dyDescent="0.3">
      <c r="A48" t="s">
        <v>341</v>
      </c>
      <c r="B48" t="s">
        <v>342</v>
      </c>
      <c r="C48" t="s">
        <v>83</v>
      </c>
      <c r="D48">
        <v>50</v>
      </c>
      <c r="E48" t="s">
        <v>47</v>
      </c>
      <c r="F48" t="s">
        <v>228</v>
      </c>
      <c r="G48" t="s">
        <v>313</v>
      </c>
      <c r="H48" s="33">
        <v>2800</v>
      </c>
      <c r="I48">
        <v>2</v>
      </c>
      <c r="J48" s="34">
        <v>46121</v>
      </c>
      <c r="K48" t="s">
        <v>236</v>
      </c>
      <c r="L48" s="33">
        <v>175000</v>
      </c>
      <c r="M48">
        <v>3</v>
      </c>
      <c r="N48" s="36">
        <v>10.199999999999999</v>
      </c>
      <c r="O48" t="s">
        <v>226</v>
      </c>
    </row>
    <row r="49" spans="1:15" x14ac:dyDescent="0.3">
      <c r="A49" t="s">
        <v>343</v>
      </c>
      <c r="B49" t="s">
        <v>344</v>
      </c>
      <c r="C49" t="s">
        <v>87</v>
      </c>
      <c r="D49">
        <v>36</v>
      </c>
      <c r="E49" t="s">
        <v>52</v>
      </c>
      <c r="F49" t="s">
        <v>7</v>
      </c>
      <c r="G49" t="s">
        <v>242</v>
      </c>
      <c r="H49" s="33">
        <v>18000</v>
      </c>
      <c r="I49">
        <v>4</v>
      </c>
      <c r="J49" s="34">
        <v>46122</v>
      </c>
      <c r="K49" t="s">
        <v>225</v>
      </c>
      <c r="L49" s="33">
        <v>600000</v>
      </c>
      <c r="M49">
        <v>8</v>
      </c>
      <c r="N49" s="36">
        <v>10.4</v>
      </c>
      <c r="O49" t="s">
        <v>226</v>
      </c>
    </row>
    <row r="50" spans="1:15" x14ac:dyDescent="0.3">
      <c r="A50" t="s">
        <v>345</v>
      </c>
      <c r="B50" t="s">
        <v>346</v>
      </c>
      <c r="C50" t="s">
        <v>65</v>
      </c>
      <c r="D50">
        <v>46</v>
      </c>
      <c r="E50" t="s">
        <v>52</v>
      </c>
      <c r="F50" t="s">
        <v>234</v>
      </c>
      <c r="G50" t="s">
        <v>285</v>
      </c>
      <c r="H50" s="33">
        <v>2200</v>
      </c>
      <c r="I50">
        <v>4</v>
      </c>
      <c r="J50" s="34">
        <v>46079</v>
      </c>
      <c r="K50" t="s">
        <v>251</v>
      </c>
      <c r="L50" s="33">
        <v>350000</v>
      </c>
      <c r="M50">
        <v>9</v>
      </c>
      <c r="N50" s="36">
        <v>8.6</v>
      </c>
      <c r="O50" t="s">
        <v>226</v>
      </c>
    </row>
    <row r="51" spans="1:15" x14ac:dyDescent="0.3">
      <c r="A51" t="s">
        <v>347</v>
      </c>
      <c r="B51" t="s">
        <v>348</v>
      </c>
      <c r="C51" t="s">
        <v>96</v>
      </c>
      <c r="D51">
        <v>43</v>
      </c>
      <c r="E51" t="s">
        <v>52</v>
      </c>
      <c r="F51" t="s">
        <v>228</v>
      </c>
      <c r="G51" t="s">
        <v>330</v>
      </c>
      <c r="H51" s="33">
        <v>1200</v>
      </c>
      <c r="I51">
        <v>2</v>
      </c>
      <c r="J51" s="34">
        <v>46182</v>
      </c>
      <c r="K51" t="s">
        <v>225</v>
      </c>
      <c r="L51" s="33">
        <v>300000</v>
      </c>
      <c r="M51">
        <v>2</v>
      </c>
      <c r="N51" s="36">
        <v>8.8000000000000007</v>
      </c>
      <c r="O51" t="s">
        <v>247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F9455-01C7-4E52-BB82-A90BB83C895D}">
  <dimension ref="A1:Q51"/>
  <sheetViews>
    <sheetView workbookViewId="0">
      <selection sqref="A1:O51"/>
    </sheetView>
  </sheetViews>
  <sheetFormatPr defaultRowHeight="14.4" x14ac:dyDescent="0.3"/>
  <cols>
    <col min="2" max="2" width="15.21875" bestFit="1" customWidth="1"/>
    <col min="10" max="10" width="10.6640625" bestFit="1" customWidth="1"/>
  </cols>
  <sheetData>
    <row r="1" spans="1:17" x14ac:dyDescent="0.3">
      <c r="A1" s="35" t="s">
        <v>211</v>
      </c>
      <c r="B1" s="35" t="s">
        <v>212</v>
      </c>
      <c r="C1" s="35" t="s">
        <v>43</v>
      </c>
      <c r="D1" s="35" t="s">
        <v>37</v>
      </c>
      <c r="E1" s="35" t="s">
        <v>38</v>
      </c>
      <c r="F1" s="35" t="s">
        <v>213</v>
      </c>
      <c r="G1" s="35" t="s">
        <v>214</v>
      </c>
      <c r="H1" s="35" t="s">
        <v>215</v>
      </c>
      <c r="I1" s="35" t="s">
        <v>216</v>
      </c>
      <c r="J1" s="35" t="s">
        <v>217</v>
      </c>
      <c r="K1" s="35" t="s">
        <v>218</v>
      </c>
      <c r="L1" s="35" t="s">
        <v>219</v>
      </c>
      <c r="M1" s="35" t="s">
        <v>220</v>
      </c>
      <c r="N1" s="35" t="s">
        <v>221</v>
      </c>
      <c r="O1" s="35" t="s">
        <v>222</v>
      </c>
    </row>
    <row r="2" spans="1:17" x14ac:dyDescent="0.3">
      <c r="A2" t="s">
        <v>223</v>
      </c>
      <c r="B2" t="s">
        <v>200</v>
      </c>
      <c r="C2" t="s">
        <v>96</v>
      </c>
      <c r="D2">
        <v>25</v>
      </c>
      <c r="E2" t="s">
        <v>47</v>
      </c>
      <c r="F2" t="s">
        <v>14</v>
      </c>
      <c r="G2" t="s">
        <v>224</v>
      </c>
      <c r="H2" s="33">
        <v>12000</v>
      </c>
      <c r="I2">
        <v>2</v>
      </c>
      <c r="J2" s="34">
        <v>46058</v>
      </c>
      <c r="K2" t="s">
        <v>225</v>
      </c>
      <c r="L2" s="33">
        <v>550000</v>
      </c>
      <c r="M2">
        <v>3</v>
      </c>
      <c r="N2" s="36">
        <v>10.9</v>
      </c>
      <c r="O2" t="s">
        <v>226</v>
      </c>
    </row>
    <row r="3" spans="1:17" x14ac:dyDescent="0.3">
      <c r="A3" t="s">
        <v>227</v>
      </c>
      <c r="B3" t="s">
        <v>196</v>
      </c>
      <c r="C3" t="s">
        <v>50</v>
      </c>
      <c r="D3">
        <v>24</v>
      </c>
      <c r="E3" t="s">
        <v>47</v>
      </c>
      <c r="F3" t="s">
        <v>228</v>
      </c>
      <c r="G3" t="s">
        <v>229</v>
      </c>
      <c r="H3" s="33">
        <v>2500</v>
      </c>
      <c r="I3">
        <v>5</v>
      </c>
      <c r="J3" s="34">
        <v>46073</v>
      </c>
      <c r="K3" t="s">
        <v>230</v>
      </c>
      <c r="L3" s="33">
        <v>180000</v>
      </c>
      <c r="M3">
        <v>9</v>
      </c>
      <c r="N3" s="36">
        <v>10.9</v>
      </c>
      <c r="O3" t="s">
        <v>226</v>
      </c>
    </row>
    <row r="4" spans="1:17" x14ac:dyDescent="0.3">
      <c r="A4" t="s">
        <v>231</v>
      </c>
      <c r="B4" t="s">
        <v>232</v>
      </c>
      <c r="C4" t="s">
        <v>233</v>
      </c>
      <c r="D4">
        <v>47</v>
      </c>
      <c r="E4" t="s">
        <v>47</v>
      </c>
      <c r="F4" t="s">
        <v>234</v>
      </c>
      <c r="G4" t="s">
        <v>235</v>
      </c>
      <c r="H4" s="33">
        <v>2900</v>
      </c>
      <c r="I4">
        <v>3</v>
      </c>
      <c r="J4" s="34">
        <v>46062</v>
      </c>
      <c r="K4" t="s">
        <v>236</v>
      </c>
      <c r="L4" s="33">
        <v>250000</v>
      </c>
      <c r="M4">
        <v>3</v>
      </c>
      <c r="N4" s="36">
        <v>8.9</v>
      </c>
      <c r="O4" t="s">
        <v>226</v>
      </c>
    </row>
    <row r="5" spans="1:17" x14ac:dyDescent="0.3">
      <c r="A5" t="s">
        <v>237</v>
      </c>
      <c r="B5" t="s">
        <v>201</v>
      </c>
      <c r="C5" t="s">
        <v>83</v>
      </c>
      <c r="D5">
        <v>49</v>
      </c>
      <c r="E5" t="s">
        <v>52</v>
      </c>
      <c r="F5" t="s">
        <v>238</v>
      </c>
      <c r="G5" t="s">
        <v>239</v>
      </c>
      <c r="H5" s="33">
        <v>1800</v>
      </c>
      <c r="I5">
        <v>1</v>
      </c>
      <c r="J5" s="34">
        <v>46140</v>
      </c>
      <c r="K5" t="s">
        <v>225</v>
      </c>
      <c r="L5" s="33">
        <v>300000</v>
      </c>
      <c r="M5">
        <v>3</v>
      </c>
      <c r="N5" s="36">
        <v>10.7</v>
      </c>
      <c r="O5" t="s">
        <v>226</v>
      </c>
      <c r="Q5" t="s">
        <v>354</v>
      </c>
    </row>
    <row r="6" spans="1:17" x14ac:dyDescent="0.3">
      <c r="A6" t="s">
        <v>240</v>
      </c>
      <c r="B6" t="s">
        <v>241</v>
      </c>
      <c r="C6" t="s">
        <v>103</v>
      </c>
      <c r="D6">
        <v>28</v>
      </c>
      <c r="E6" t="s">
        <v>47</v>
      </c>
      <c r="F6" t="s">
        <v>7</v>
      </c>
      <c r="G6" t="s">
        <v>242</v>
      </c>
      <c r="H6" s="33">
        <v>18000</v>
      </c>
      <c r="I6">
        <v>3</v>
      </c>
      <c r="J6" s="34">
        <v>46043</v>
      </c>
      <c r="K6" t="s">
        <v>236</v>
      </c>
      <c r="L6" s="33">
        <v>100000</v>
      </c>
      <c r="M6">
        <v>8</v>
      </c>
      <c r="N6" s="36">
        <v>9.6</v>
      </c>
      <c r="O6" t="s">
        <v>226</v>
      </c>
      <c r="Q6">
        <f>VLOOKUP("Amit*",B1:O51,3,)</f>
        <v>47</v>
      </c>
    </row>
    <row r="7" spans="1:17" x14ac:dyDescent="0.3">
      <c r="A7" t="s">
        <v>243</v>
      </c>
      <c r="B7" t="s">
        <v>244</v>
      </c>
      <c r="C7" t="s">
        <v>245</v>
      </c>
      <c r="D7">
        <v>33</v>
      </c>
      <c r="E7" t="s">
        <v>52</v>
      </c>
      <c r="F7" t="s">
        <v>228</v>
      </c>
      <c r="G7" t="s">
        <v>246</v>
      </c>
      <c r="H7" s="33">
        <v>4200</v>
      </c>
      <c r="I7">
        <v>1</v>
      </c>
      <c r="J7" s="34">
        <v>46178</v>
      </c>
      <c r="K7" t="s">
        <v>236</v>
      </c>
      <c r="L7" s="33">
        <v>550000</v>
      </c>
      <c r="M7">
        <v>5</v>
      </c>
      <c r="N7" s="36">
        <v>9.1999999999999993</v>
      </c>
      <c r="O7" t="s">
        <v>247</v>
      </c>
    </row>
    <row r="8" spans="1:17" x14ac:dyDescent="0.3">
      <c r="A8" t="s">
        <v>248</v>
      </c>
      <c r="B8" t="s">
        <v>357</v>
      </c>
      <c r="C8" t="s">
        <v>65</v>
      </c>
      <c r="D8">
        <v>51</v>
      </c>
      <c r="E8" t="s">
        <v>47</v>
      </c>
      <c r="F8" t="s">
        <v>14</v>
      </c>
      <c r="G8" t="s">
        <v>250</v>
      </c>
      <c r="H8" s="33">
        <v>4500</v>
      </c>
      <c r="I8">
        <v>2</v>
      </c>
      <c r="J8" s="34">
        <v>46031</v>
      </c>
      <c r="K8" t="s">
        <v>251</v>
      </c>
      <c r="L8" s="33">
        <v>300000</v>
      </c>
      <c r="M8">
        <v>6</v>
      </c>
      <c r="N8" s="36">
        <v>8.8000000000000007</v>
      </c>
      <c r="O8" t="s">
        <v>226</v>
      </c>
      <c r="Q8" t="s">
        <v>355</v>
      </c>
    </row>
    <row r="9" spans="1:17" x14ac:dyDescent="0.3">
      <c r="A9" t="s">
        <v>252</v>
      </c>
      <c r="B9" t="s">
        <v>253</v>
      </c>
      <c r="C9" t="s">
        <v>254</v>
      </c>
      <c r="D9">
        <v>42</v>
      </c>
      <c r="E9" t="s">
        <v>52</v>
      </c>
      <c r="F9" t="s">
        <v>234</v>
      </c>
      <c r="G9" t="s">
        <v>255</v>
      </c>
      <c r="H9" s="33">
        <v>850</v>
      </c>
      <c r="I9">
        <v>2</v>
      </c>
      <c r="J9" s="34">
        <v>46090</v>
      </c>
      <c r="K9" t="s">
        <v>236</v>
      </c>
      <c r="L9" s="33">
        <v>180000</v>
      </c>
      <c r="M9">
        <v>10</v>
      </c>
      <c r="N9" s="36">
        <v>10.7</v>
      </c>
      <c r="O9" t="s">
        <v>247</v>
      </c>
      <c r="Q9">
        <f>VLOOKUP("Rice*",G1:O51,2,)</f>
        <v>1200</v>
      </c>
    </row>
    <row r="10" spans="1:17" x14ac:dyDescent="0.3">
      <c r="A10" t="s">
        <v>256</v>
      </c>
      <c r="B10" t="s">
        <v>257</v>
      </c>
      <c r="C10" t="s">
        <v>258</v>
      </c>
      <c r="D10">
        <v>40</v>
      </c>
      <c r="E10" t="s">
        <v>52</v>
      </c>
      <c r="F10" t="s">
        <v>14</v>
      </c>
      <c r="G10" t="s">
        <v>224</v>
      </c>
      <c r="H10" s="33">
        <v>12000</v>
      </c>
      <c r="I10">
        <v>2</v>
      </c>
      <c r="J10" s="34">
        <v>46153</v>
      </c>
      <c r="K10" t="s">
        <v>230</v>
      </c>
      <c r="L10" s="33">
        <v>90000</v>
      </c>
      <c r="M10">
        <v>2</v>
      </c>
      <c r="N10" s="36">
        <v>11.9</v>
      </c>
      <c r="O10" t="s">
        <v>226</v>
      </c>
    </row>
    <row r="11" spans="1:17" x14ac:dyDescent="0.3">
      <c r="A11" t="s">
        <v>259</v>
      </c>
      <c r="B11" t="s">
        <v>260</v>
      </c>
      <c r="C11" t="s">
        <v>96</v>
      </c>
      <c r="D11">
        <v>27</v>
      </c>
      <c r="E11" t="s">
        <v>52</v>
      </c>
      <c r="F11" t="s">
        <v>238</v>
      </c>
      <c r="G11" t="s">
        <v>261</v>
      </c>
      <c r="H11" s="33">
        <v>1200</v>
      </c>
      <c r="I11">
        <v>4</v>
      </c>
      <c r="J11" s="34">
        <v>46120</v>
      </c>
      <c r="K11" t="s">
        <v>230</v>
      </c>
      <c r="L11" s="33">
        <v>500000</v>
      </c>
      <c r="M11">
        <v>6</v>
      </c>
      <c r="N11" s="36">
        <v>12.4</v>
      </c>
      <c r="O11" t="s">
        <v>226</v>
      </c>
      <c r="Q11" t="s">
        <v>356</v>
      </c>
    </row>
    <row r="12" spans="1:17" x14ac:dyDescent="0.3">
      <c r="A12" t="s">
        <v>262</v>
      </c>
      <c r="B12" t="s">
        <v>181</v>
      </c>
      <c r="C12" t="s">
        <v>96</v>
      </c>
      <c r="D12">
        <v>45</v>
      </c>
      <c r="E12" t="s">
        <v>47</v>
      </c>
      <c r="F12" t="s">
        <v>238</v>
      </c>
      <c r="G12" t="s">
        <v>239</v>
      </c>
      <c r="H12" s="33">
        <v>1800</v>
      </c>
      <c r="I12">
        <v>3</v>
      </c>
      <c r="J12" s="34">
        <v>46051</v>
      </c>
      <c r="K12" t="s">
        <v>251</v>
      </c>
      <c r="L12" s="33">
        <v>350000</v>
      </c>
      <c r="M12">
        <v>4</v>
      </c>
      <c r="N12" s="36">
        <v>10.3</v>
      </c>
      <c r="O12" t="s">
        <v>226</v>
      </c>
      <c r="Q12">
        <f>VLOOKUP("R*",B1:O51,7,FALSE)</f>
        <v>12000</v>
      </c>
    </row>
    <row r="13" spans="1:17" x14ac:dyDescent="0.3">
      <c r="A13" t="s">
        <v>263</v>
      </c>
      <c r="B13" t="s">
        <v>264</v>
      </c>
      <c r="C13" t="s">
        <v>87</v>
      </c>
      <c r="D13">
        <v>46</v>
      </c>
      <c r="E13" t="s">
        <v>47</v>
      </c>
      <c r="F13" t="s">
        <v>238</v>
      </c>
      <c r="G13" t="s">
        <v>261</v>
      </c>
      <c r="H13" s="33">
        <v>1200</v>
      </c>
      <c r="I13">
        <v>3</v>
      </c>
      <c r="J13" s="34">
        <v>46186</v>
      </c>
      <c r="K13" t="s">
        <v>236</v>
      </c>
      <c r="L13" s="33">
        <v>120000</v>
      </c>
      <c r="M13">
        <v>7</v>
      </c>
      <c r="N13" s="36">
        <v>11.6</v>
      </c>
      <c r="O13" t="s">
        <v>226</v>
      </c>
    </row>
    <row r="14" spans="1:17" x14ac:dyDescent="0.3">
      <c r="A14" t="s">
        <v>265</v>
      </c>
      <c r="B14" t="s">
        <v>266</v>
      </c>
      <c r="C14" t="s">
        <v>103</v>
      </c>
      <c r="D14">
        <v>32</v>
      </c>
      <c r="E14" t="s">
        <v>52</v>
      </c>
      <c r="F14" t="s">
        <v>7</v>
      </c>
      <c r="G14" t="s">
        <v>267</v>
      </c>
      <c r="H14" s="33">
        <v>1800</v>
      </c>
      <c r="I14">
        <v>3</v>
      </c>
      <c r="J14" s="34">
        <v>46101</v>
      </c>
      <c r="K14" t="s">
        <v>236</v>
      </c>
      <c r="L14" s="33">
        <v>80000</v>
      </c>
      <c r="M14">
        <v>5</v>
      </c>
      <c r="N14" s="36">
        <v>12</v>
      </c>
      <c r="O14" t="s">
        <v>226</v>
      </c>
      <c r="Q14" t="s">
        <v>358</v>
      </c>
    </row>
    <row r="15" spans="1:17" x14ac:dyDescent="0.3">
      <c r="A15" t="s">
        <v>268</v>
      </c>
      <c r="B15" t="s">
        <v>199</v>
      </c>
      <c r="C15" t="s">
        <v>55</v>
      </c>
      <c r="D15">
        <v>45</v>
      </c>
      <c r="E15" t="s">
        <v>52</v>
      </c>
      <c r="F15" t="s">
        <v>7</v>
      </c>
      <c r="G15" t="s">
        <v>269</v>
      </c>
      <c r="H15" s="33">
        <v>6500</v>
      </c>
      <c r="I15">
        <v>2</v>
      </c>
      <c r="J15" s="34">
        <v>46055</v>
      </c>
      <c r="K15" t="s">
        <v>230</v>
      </c>
      <c r="L15" s="33">
        <v>550000</v>
      </c>
      <c r="M15">
        <v>4</v>
      </c>
      <c r="N15" s="36">
        <v>9.6</v>
      </c>
      <c r="O15" t="s">
        <v>247</v>
      </c>
      <c r="Q15" t="str">
        <f>VLOOKUP("*sharma",B1:O51,5,FALSE)</f>
        <v>Furniture</v>
      </c>
    </row>
    <row r="16" spans="1:17" x14ac:dyDescent="0.3">
      <c r="A16" t="s">
        <v>270</v>
      </c>
      <c r="B16" t="s">
        <v>271</v>
      </c>
      <c r="C16" t="s">
        <v>254</v>
      </c>
      <c r="D16">
        <v>51</v>
      </c>
      <c r="E16" t="s">
        <v>47</v>
      </c>
      <c r="F16" t="s">
        <v>14</v>
      </c>
      <c r="G16" t="s">
        <v>272</v>
      </c>
      <c r="H16" s="33">
        <v>35000</v>
      </c>
      <c r="I16">
        <v>3</v>
      </c>
      <c r="J16" s="34">
        <v>46135</v>
      </c>
      <c r="K16" t="s">
        <v>230</v>
      </c>
      <c r="L16" s="33">
        <v>100000</v>
      </c>
      <c r="M16">
        <v>5</v>
      </c>
      <c r="N16" s="36">
        <v>9.4</v>
      </c>
      <c r="O16" t="s">
        <v>226</v>
      </c>
    </row>
    <row r="17" spans="1:17" x14ac:dyDescent="0.3">
      <c r="A17" t="s">
        <v>273</v>
      </c>
      <c r="B17" t="s">
        <v>197</v>
      </c>
      <c r="C17" t="s">
        <v>50</v>
      </c>
      <c r="D17">
        <v>40</v>
      </c>
      <c r="E17" t="s">
        <v>47</v>
      </c>
      <c r="F17" t="s">
        <v>238</v>
      </c>
      <c r="G17" t="s">
        <v>274</v>
      </c>
      <c r="H17" s="33">
        <v>850</v>
      </c>
      <c r="I17">
        <v>1</v>
      </c>
      <c r="J17" s="34">
        <v>46041</v>
      </c>
      <c r="K17" t="s">
        <v>225</v>
      </c>
      <c r="L17" s="33">
        <v>180000</v>
      </c>
      <c r="M17">
        <v>3</v>
      </c>
      <c r="N17" s="36">
        <v>12.1</v>
      </c>
      <c r="O17" t="s">
        <v>226</v>
      </c>
      <c r="Q17" t="s">
        <v>359</v>
      </c>
    </row>
    <row r="18" spans="1:17" x14ac:dyDescent="0.3">
      <c r="A18" t="s">
        <v>275</v>
      </c>
      <c r="B18" t="s">
        <v>276</v>
      </c>
      <c r="C18" t="s">
        <v>55</v>
      </c>
      <c r="D18">
        <v>38</v>
      </c>
      <c r="E18" t="s">
        <v>47</v>
      </c>
      <c r="F18" t="s">
        <v>14</v>
      </c>
      <c r="G18" t="s">
        <v>277</v>
      </c>
      <c r="H18" s="33">
        <v>42000</v>
      </c>
      <c r="I18">
        <v>4</v>
      </c>
      <c r="J18" s="34">
        <v>46077</v>
      </c>
      <c r="K18" t="s">
        <v>236</v>
      </c>
      <c r="L18" s="33">
        <v>600000</v>
      </c>
      <c r="M18">
        <v>9</v>
      </c>
      <c r="N18" s="36">
        <v>9.5</v>
      </c>
      <c r="O18" t="s">
        <v>247</v>
      </c>
      <c r="Q18" t="s">
        <v>360</v>
      </c>
    </row>
    <row r="19" spans="1:17" x14ac:dyDescent="0.3">
      <c r="A19" t="s">
        <v>278</v>
      </c>
      <c r="B19" t="s">
        <v>279</v>
      </c>
      <c r="C19" t="s">
        <v>233</v>
      </c>
      <c r="D19">
        <v>35</v>
      </c>
      <c r="E19" t="s">
        <v>47</v>
      </c>
      <c r="F19" t="s">
        <v>7</v>
      </c>
      <c r="G19" t="s">
        <v>267</v>
      </c>
      <c r="H19" s="33">
        <v>1800</v>
      </c>
      <c r="I19">
        <v>4</v>
      </c>
      <c r="J19" s="34">
        <v>46113</v>
      </c>
      <c r="K19" t="s">
        <v>230</v>
      </c>
      <c r="L19" s="33">
        <v>350000</v>
      </c>
      <c r="M19">
        <v>9</v>
      </c>
      <c r="N19" s="36">
        <v>12</v>
      </c>
      <c r="O19" t="s">
        <v>226</v>
      </c>
    </row>
    <row r="20" spans="1:17" x14ac:dyDescent="0.3">
      <c r="A20" t="s">
        <v>280</v>
      </c>
      <c r="B20" t="s">
        <v>281</v>
      </c>
      <c r="C20" t="s">
        <v>96</v>
      </c>
      <c r="D20">
        <v>42</v>
      </c>
      <c r="E20" t="s">
        <v>47</v>
      </c>
      <c r="F20" t="s">
        <v>7</v>
      </c>
      <c r="G20" t="s">
        <v>282</v>
      </c>
      <c r="H20" s="33">
        <v>45000</v>
      </c>
      <c r="I20">
        <v>3</v>
      </c>
      <c r="J20" s="34">
        <v>46050</v>
      </c>
      <c r="K20" t="s">
        <v>236</v>
      </c>
      <c r="L20" s="33">
        <v>175000</v>
      </c>
      <c r="M20">
        <v>5</v>
      </c>
      <c r="N20" s="36">
        <v>10.6</v>
      </c>
      <c r="O20" t="s">
        <v>226</v>
      </c>
      <c r="Q20" t="s">
        <v>361</v>
      </c>
    </row>
    <row r="21" spans="1:17" x14ac:dyDescent="0.3">
      <c r="A21" t="s">
        <v>283</v>
      </c>
      <c r="B21" t="s">
        <v>284</v>
      </c>
      <c r="C21" t="s">
        <v>79</v>
      </c>
      <c r="D21">
        <v>27</v>
      </c>
      <c r="E21" t="s">
        <v>52</v>
      </c>
      <c r="F21" t="s">
        <v>234</v>
      </c>
      <c r="G21" t="s">
        <v>285</v>
      </c>
      <c r="H21" s="33">
        <v>2200</v>
      </c>
      <c r="I21">
        <v>1</v>
      </c>
      <c r="J21" s="34">
        <v>46136</v>
      </c>
      <c r="K21" t="s">
        <v>225</v>
      </c>
      <c r="L21" s="33">
        <v>80000</v>
      </c>
      <c r="M21">
        <v>10</v>
      </c>
      <c r="N21" s="36">
        <v>11.8</v>
      </c>
      <c r="O21" t="s">
        <v>226</v>
      </c>
      <c r="Q21" t="str">
        <f>VLOOKUP("D*",B1:O51,2,FALSE)</f>
        <v>Gurgaon</v>
      </c>
    </row>
    <row r="22" spans="1:17" x14ac:dyDescent="0.3">
      <c r="A22" t="s">
        <v>286</v>
      </c>
      <c r="B22" t="s">
        <v>287</v>
      </c>
      <c r="C22" t="s">
        <v>258</v>
      </c>
      <c r="D22">
        <v>46</v>
      </c>
      <c r="E22" t="s">
        <v>47</v>
      </c>
      <c r="F22" t="s">
        <v>228</v>
      </c>
      <c r="G22" t="s">
        <v>288</v>
      </c>
      <c r="H22" s="33">
        <v>1900</v>
      </c>
      <c r="I22">
        <v>4</v>
      </c>
      <c r="J22" s="34">
        <v>46146</v>
      </c>
      <c r="K22" t="s">
        <v>236</v>
      </c>
      <c r="L22" s="33">
        <v>300000</v>
      </c>
      <c r="M22">
        <v>2</v>
      </c>
      <c r="N22" s="36">
        <v>9.1999999999999993</v>
      </c>
      <c r="O22" t="s">
        <v>226</v>
      </c>
    </row>
    <row r="23" spans="1:17" x14ac:dyDescent="0.3">
      <c r="A23" t="s">
        <v>289</v>
      </c>
      <c r="B23" t="s">
        <v>290</v>
      </c>
      <c r="C23" t="s">
        <v>79</v>
      </c>
      <c r="D23">
        <v>30</v>
      </c>
      <c r="E23" t="s">
        <v>52</v>
      </c>
      <c r="F23" t="s">
        <v>14</v>
      </c>
      <c r="G23" t="s">
        <v>272</v>
      </c>
      <c r="H23" s="33">
        <v>35000</v>
      </c>
      <c r="I23">
        <v>5</v>
      </c>
      <c r="J23" s="34">
        <v>46192</v>
      </c>
      <c r="K23" t="s">
        <v>230</v>
      </c>
      <c r="L23" s="33">
        <v>120000</v>
      </c>
      <c r="M23">
        <v>5</v>
      </c>
      <c r="N23" s="36">
        <v>9.6999999999999993</v>
      </c>
      <c r="O23" t="s">
        <v>226</v>
      </c>
      <c r="Q23" t="s">
        <v>362</v>
      </c>
    </row>
    <row r="24" spans="1:17" x14ac:dyDescent="0.3">
      <c r="A24" t="s">
        <v>291</v>
      </c>
      <c r="B24" t="s">
        <v>202</v>
      </c>
      <c r="C24" t="s">
        <v>103</v>
      </c>
      <c r="D24">
        <v>45</v>
      </c>
      <c r="E24" t="s">
        <v>47</v>
      </c>
      <c r="F24" t="s">
        <v>14</v>
      </c>
      <c r="G24" t="s">
        <v>250</v>
      </c>
      <c r="H24" s="33">
        <v>4500</v>
      </c>
      <c r="I24">
        <v>1</v>
      </c>
      <c r="J24" s="34">
        <v>46172</v>
      </c>
      <c r="K24" t="s">
        <v>230</v>
      </c>
      <c r="L24" s="33">
        <v>500000</v>
      </c>
      <c r="M24">
        <v>10</v>
      </c>
      <c r="N24" s="36">
        <v>9.1</v>
      </c>
      <c r="O24" t="s">
        <v>226</v>
      </c>
      <c r="Q24" t="str">
        <f>VLOOKUP("*07",A1:O51,2,FALSE)</f>
        <v>Vikas sharma</v>
      </c>
    </row>
    <row r="25" spans="1:17" x14ac:dyDescent="0.3">
      <c r="A25" t="s">
        <v>292</v>
      </c>
      <c r="B25" t="s">
        <v>192</v>
      </c>
      <c r="C25" t="s">
        <v>185</v>
      </c>
      <c r="D25">
        <v>27</v>
      </c>
      <c r="E25" t="s">
        <v>47</v>
      </c>
      <c r="F25" t="s">
        <v>238</v>
      </c>
      <c r="G25" t="s">
        <v>261</v>
      </c>
      <c r="H25" s="33">
        <v>1200</v>
      </c>
      <c r="I25">
        <v>2</v>
      </c>
      <c r="J25" s="34">
        <v>46126</v>
      </c>
      <c r="K25" t="s">
        <v>225</v>
      </c>
      <c r="L25" s="33">
        <v>600000</v>
      </c>
      <c r="M25">
        <v>5</v>
      </c>
      <c r="N25" s="36">
        <v>10.8</v>
      </c>
      <c r="O25" t="s">
        <v>226</v>
      </c>
    </row>
    <row r="26" spans="1:17" x14ac:dyDescent="0.3">
      <c r="A26" t="s">
        <v>293</v>
      </c>
      <c r="B26" t="s">
        <v>294</v>
      </c>
      <c r="C26" t="s">
        <v>103</v>
      </c>
      <c r="D26">
        <v>24</v>
      </c>
      <c r="E26" t="s">
        <v>52</v>
      </c>
      <c r="F26" t="s">
        <v>238</v>
      </c>
      <c r="G26" t="s">
        <v>295</v>
      </c>
      <c r="H26" s="33">
        <v>700</v>
      </c>
      <c r="I26">
        <v>5</v>
      </c>
      <c r="J26" s="34">
        <v>46103</v>
      </c>
      <c r="K26" t="s">
        <v>251</v>
      </c>
      <c r="L26" s="33">
        <v>175000</v>
      </c>
      <c r="M26">
        <v>7</v>
      </c>
      <c r="N26" s="36">
        <v>9.5</v>
      </c>
      <c r="O26" t="s">
        <v>247</v>
      </c>
    </row>
    <row r="27" spans="1:17" x14ac:dyDescent="0.3">
      <c r="A27" t="s">
        <v>296</v>
      </c>
      <c r="B27" t="s">
        <v>297</v>
      </c>
      <c r="C27" t="s">
        <v>245</v>
      </c>
      <c r="D27">
        <v>43</v>
      </c>
      <c r="E27" t="s">
        <v>52</v>
      </c>
      <c r="F27" t="s">
        <v>234</v>
      </c>
      <c r="G27" t="s">
        <v>235</v>
      </c>
      <c r="H27" s="33">
        <v>2900</v>
      </c>
      <c r="I27">
        <v>1</v>
      </c>
      <c r="J27" s="34">
        <v>46025</v>
      </c>
      <c r="K27" t="s">
        <v>230</v>
      </c>
      <c r="L27" s="33">
        <v>600000</v>
      </c>
      <c r="M27">
        <v>3</v>
      </c>
      <c r="N27" s="36">
        <v>8.8000000000000007</v>
      </c>
      <c r="O27" t="s">
        <v>226</v>
      </c>
    </row>
    <row r="28" spans="1:17" x14ac:dyDescent="0.3">
      <c r="A28" t="s">
        <v>298</v>
      </c>
      <c r="B28" t="s">
        <v>299</v>
      </c>
      <c r="C28" t="s">
        <v>87</v>
      </c>
      <c r="D28">
        <v>30</v>
      </c>
      <c r="E28" t="s">
        <v>47</v>
      </c>
      <c r="F28" t="s">
        <v>14</v>
      </c>
      <c r="G28" t="s">
        <v>250</v>
      </c>
      <c r="H28" s="33">
        <v>4500</v>
      </c>
      <c r="I28">
        <v>2</v>
      </c>
      <c r="J28" s="34">
        <v>46117</v>
      </c>
      <c r="K28" t="s">
        <v>251</v>
      </c>
      <c r="L28" s="33">
        <v>150000</v>
      </c>
      <c r="M28">
        <v>9</v>
      </c>
      <c r="N28" s="36">
        <v>11.8</v>
      </c>
      <c r="O28" t="s">
        <v>226</v>
      </c>
    </row>
    <row r="29" spans="1:17" x14ac:dyDescent="0.3">
      <c r="A29" t="s">
        <v>300</v>
      </c>
      <c r="B29" t="s">
        <v>301</v>
      </c>
      <c r="C29" t="s">
        <v>103</v>
      </c>
      <c r="D29">
        <v>47</v>
      </c>
      <c r="E29" t="s">
        <v>47</v>
      </c>
      <c r="F29" t="s">
        <v>238</v>
      </c>
      <c r="G29" t="s">
        <v>239</v>
      </c>
      <c r="H29" s="33">
        <v>1800</v>
      </c>
      <c r="I29">
        <v>1</v>
      </c>
      <c r="J29" s="34">
        <v>46057</v>
      </c>
      <c r="K29" t="s">
        <v>251</v>
      </c>
      <c r="L29" s="33">
        <v>100000</v>
      </c>
      <c r="M29">
        <v>3</v>
      </c>
      <c r="N29" s="36">
        <v>11.5</v>
      </c>
      <c r="O29" t="s">
        <v>226</v>
      </c>
    </row>
    <row r="30" spans="1:17" x14ac:dyDescent="0.3">
      <c r="A30" t="s">
        <v>302</v>
      </c>
      <c r="B30" t="s">
        <v>303</v>
      </c>
      <c r="C30" t="s">
        <v>65</v>
      </c>
      <c r="D30">
        <v>31</v>
      </c>
      <c r="E30" t="s">
        <v>47</v>
      </c>
      <c r="F30" t="s">
        <v>14</v>
      </c>
      <c r="G30" t="s">
        <v>224</v>
      </c>
      <c r="H30" s="33">
        <v>12000</v>
      </c>
      <c r="I30">
        <v>3</v>
      </c>
      <c r="J30" s="34">
        <v>46152</v>
      </c>
      <c r="K30" t="s">
        <v>230</v>
      </c>
      <c r="L30" s="33">
        <v>200000</v>
      </c>
      <c r="M30">
        <v>2</v>
      </c>
      <c r="N30" s="36">
        <v>8.9</v>
      </c>
      <c r="O30" t="s">
        <v>247</v>
      </c>
    </row>
    <row r="31" spans="1:17" x14ac:dyDescent="0.3">
      <c r="A31" t="s">
        <v>304</v>
      </c>
      <c r="B31" t="s">
        <v>305</v>
      </c>
      <c r="C31" t="s">
        <v>185</v>
      </c>
      <c r="D31">
        <v>30</v>
      </c>
      <c r="E31" t="s">
        <v>47</v>
      </c>
      <c r="F31" t="s">
        <v>7</v>
      </c>
      <c r="G31" t="s">
        <v>306</v>
      </c>
      <c r="H31" s="33">
        <v>32000</v>
      </c>
      <c r="I31">
        <v>2</v>
      </c>
      <c r="J31" s="34">
        <v>46186</v>
      </c>
      <c r="K31" t="s">
        <v>251</v>
      </c>
      <c r="L31" s="33">
        <v>150000</v>
      </c>
      <c r="M31">
        <v>9</v>
      </c>
      <c r="N31" s="36">
        <v>10.7</v>
      </c>
      <c r="O31" t="s">
        <v>247</v>
      </c>
    </row>
    <row r="32" spans="1:17" x14ac:dyDescent="0.3">
      <c r="A32" t="s">
        <v>307</v>
      </c>
      <c r="B32" t="s">
        <v>193</v>
      </c>
      <c r="C32" t="s">
        <v>87</v>
      </c>
      <c r="D32">
        <v>22</v>
      </c>
      <c r="E32" t="s">
        <v>47</v>
      </c>
      <c r="F32" t="s">
        <v>7</v>
      </c>
      <c r="G32" t="s">
        <v>308</v>
      </c>
      <c r="H32" s="33">
        <v>22000</v>
      </c>
      <c r="I32">
        <v>5</v>
      </c>
      <c r="J32" s="34">
        <v>46032</v>
      </c>
      <c r="K32" t="s">
        <v>251</v>
      </c>
      <c r="L32" s="33">
        <v>600000</v>
      </c>
      <c r="M32">
        <v>10</v>
      </c>
      <c r="N32" s="36">
        <v>9.1</v>
      </c>
      <c r="O32" t="s">
        <v>226</v>
      </c>
    </row>
    <row r="33" spans="1:15" x14ac:dyDescent="0.3">
      <c r="A33" t="s">
        <v>309</v>
      </c>
      <c r="B33" t="s">
        <v>310</v>
      </c>
      <c r="C33" t="s">
        <v>50</v>
      </c>
      <c r="D33">
        <v>31</v>
      </c>
      <c r="E33" t="s">
        <v>52</v>
      </c>
      <c r="F33" t="s">
        <v>7</v>
      </c>
      <c r="G33" t="s">
        <v>306</v>
      </c>
      <c r="H33" s="33">
        <v>32000</v>
      </c>
      <c r="I33">
        <v>2</v>
      </c>
      <c r="J33" s="34">
        <v>46197</v>
      </c>
      <c r="K33" t="s">
        <v>236</v>
      </c>
      <c r="L33" s="33">
        <v>100000</v>
      </c>
      <c r="M33">
        <v>7</v>
      </c>
      <c r="N33" s="36">
        <v>11.6</v>
      </c>
      <c r="O33" t="s">
        <v>247</v>
      </c>
    </row>
    <row r="34" spans="1:15" x14ac:dyDescent="0.3">
      <c r="A34" t="s">
        <v>311</v>
      </c>
      <c r="B34" t="s">
        <v>312</v>
      </c>
      <c r="C34" t="s">
        <v>103</v>
      </c>
      <c r="D34">
        <v>45</v>
      </c>
      <c r="E34" t="s">
        <v>47</v>
      </c>
      <c r="F34" t="s">
        <v>228</v>
      </c>
      <c r="G34" t="s">
        <v>313</v>
      </c>
      <c r="H34" s="33">
        <v>2800</v>
      </c>
      <c r="I34">
        <v>2</v>
      </c>
      <c r="J34" s="34">
        <v>46128</v>
      </c>
      <c r="K34" t="s">
        <v>225</v>
      </c>
      <c r="L34" s="33">
        <v>150000</v>
      </c>
      <c r="M34">
        <v>7</v>
      </c>
      <c r="N34" s="36">
        <v>11.6</v>
      </c>
      <c r="O34" t="s">
        <v>247</v>
      </c>
    </row>
    <row r="35" spans="1:15" x14ac:dyDescent="0.3">
      <c r="A35" t="s">
        <v>314</v>
      </c>
      <c r="B35" t="s">
        <v>315</v>
      </c>
      <c r="C35" t="s">
        <v>233</v>
      </c>
      <c r="D35">
        <v>43</v>
      </c>
      <c r="E35" t="s">
        <v>47</v>
      </c>
      <c r="F35" t="s">
        <v>14</v>
      </c>
      <c r="G35" t="s">
        <v>224</v>
      </c>
      <c r="H35" s="33">
        <v>12000</v>
      </c>
      <c r="I35">
        <v>1</v>
      </c>
      <c r="J35" s="34">
        <v>46120</v>
      </c>
      <c r="K35" t="s">
        <v>225</v>
      </c>
      <c r="L35" s="33">
        <v>450000</v>
      </c>
      <c r="M35">
        <v>5</v>
      </c>
      <c r="N35" s="36">
        <v>9.3000000000000007</v>
      </c>
      <c r="O35" t="s">
        <v>247</v>
      </c>
    </row>
    <row r="36" spans="1:15" x14ac:dyDescent="0.3">
      <c r="A36" t="s">
        <v>316</v>
      </c>
      <c r="B36" t="s">
        <v>317</v>
      </c>
      <c r="C36" t="s">
        <v>83</v>
      </c>
      <c r="D36">
        <v>31</v>
      </c>
      <c r="E36" t="s">
        <v>47</v>
      </c>
      <c r="F36" t="s">
        <v>228</v>
      </c>
      <c r="G36" t="s">
        <v>229</v>
      </c>
      <c r="H36" s="33">
        <v>2500</v>
      </c>
      <c r="I36">
        <v>2</v>
      </c>
      <c r="J36" s="34">
        <v>46125</v>
      </c>
      <c r="K36" t="s">
        <v>251</v>
      </c>
      <c r="L36" s="33">
        <v>200000</v>
      </c>
      <c r="M36">
        <v>3</v>
      </c>
      <c r="N36" s="36">
        <v>12.4</v>
      </c>
      <c r="O36" t="s">
        <v>226</v>
      </c>
    </row>
    <row r="37" spans="1:15" x14ac:dyDescent="0.3">
      <c r="A37" t="s">
        <v>318</v>
      </c>
      <c r="B37" t="s">
        <v>319</v>
      </c>
      <c r="C37" t="s">
        <v>83</v>
      </c>
      <c r="D37">
        <v>42</v>
      </c>
      <c r="E37" t="s">
        <v>52</v>
      </c>
      <c r="F37" t="s">
        <v>238</v>
      </c>
      <c r="G37" t="s">
        <v>239</v>
      </c>
      <c r="H37" s="33">
        <v>1800</v>
      </c>
      <c r="I37">
        <v>1</v>
      </c>
      <c r="J37" s="34">
        <v>46052</v>
      </c>
      <c r="K37" t="s">
        <v>251</v>
      </c>
      <c r="L37" s="33">
        <v>150000</v>
      </c>
      <c r="M37">
        <v>6</v>
      </c>
      <c r="N37" s="36">
        <v>8.6999999999999993</v>
      </c>
      <c r="O37" t="s">
        <v>247</v>
      </c>
    </row>
    <row r="38" spans="1:15" x14ac:dyDescent="0.3">
      <c r="A38" t="s">
        <v>320</v>
      </c>
      <c r="B38" t="s">
        <v>321</v>
      </c>
      <c r="C38" t="s">
        <v>83</v>
      </c>
      <c r="D38">
        <v>45</v>
      </c>
      <c r="E38" t="s">
        <v>52</v>
      </c>
      <c r="F38" t="s">
        <v>234</v>
      </c>
      <c r="G38" t="s">
        <v>322</v>
      </c>
      <c r="H38" s="33">
        <v>3200</v>
      </c>
      <c r="I38">
        <v>4</v>
      </c>
      <c r="J38" s="34">
        <v>46170</v>
      </c>
      <c r="K38" t="s">
        <v>236</v>
      </c>
      <c r="L38" s="33">
        <v>200000</v>
      </c>
      <c r="M38">
        <v>2</v>
      </c>
      <c r="N38" s="36">
        <v>11.3</v>
      </c>
      <c r="O38" t="s">
        <v>226</v>
      </c>
    </row>
    <row r="39" spans="1:15" x14ac:dyDescent="0.3">
      <c r="A39" t="s">
        <v>323</v>
      </c>
      <c r="B39" t="s">
        <v>324</v>
      </c>
      <c r="C39" t="s">
        <v>87</v>
      </c>
      <c r="D39">
        <v>51</v>
      </c>
      <c r="E39" t="s">
        <v>47</v>
      </c>
      <c r="F39" t="s">
        <v>14</v>
      </c>
      <c r="G39" t="s">
        <v>272</v>
      </c>
      <c r="H39" s="33">
        <v>35000</v>
      </c>
      <c r="I39">
        <v>1</v>
      </c>
      <c r="J39" s="34">
        <v>46193</v>
      </c>
      <c r="K39" t="s">
        <v>251</v>
      </c>
      <c r="L39" s="33">
        <v>250000</v>
      </c>
      <c r="M39">
        <v>3</v>
      </c>
      <c r="N39" s="36">
        <v>11.4</v>
      </c>
      <c r="O39" t="s">
        <v>226</v>
      </c>
    </row>
    <row r="40" spans="1:15" x14ac:dyDescent="0.3">
      <c r="A40" t="s">
        <v>325</v>
      </c>
      <c r="B40" t="s">
        <v>203</v>
      </c>
      <c r="C40" t="s">
        <v>87</v>
      </c>
      <c r="D40">
        <v>31</v>
      </c>
      <c r="E40" t="s">
        <v>52</v>
      </c>
      <c r="F40" t="s">
        <v>14</v>
      </c>
      <c r="G40" t="s">
        <v>272</v>
      </c>
      <c r="H40" s="33">
        <v>35000</v>
      </c>
      <c r="I40">
        <v>3</v>
      </c>
      <c r="J40" s="34">
        <v>46164</v>
      </c>
      <c r="K40" t="s">
        <v>236</v>
      </c>
      <c r="L40" s="33">
        <v>175000</v>
      </c>
      <c r="M40">
        <v>8</v>
      </c>
      <c r="N40" s="36">
        <v>11.2</v>
      </c>
      <c r="O40" t="s">
        <v>247</v>
      </c>
    </row>
    <row r="41" spans="1:15" x14ac:dyDescent="0.3">
      <c r="A41" t="s">
        <v>326</v>
      </c>
      <c r="B41" t="s">
        <v>327</v>
      </c>
      <c r="C41" t="s">
        <v>96</v>
      </c>
      <c r="D41">
        <v>45</v>
      </c>
      <c r="E41" t="s">
        <v>47</v>
      </c>
      <c r="F41" t="s">
        <v>238</v>
      </c>
      <c r="G41" t="s">
        <v>295</v>
      </c>
      <c r="H41" s="33">
        <v>700</v>
      </c>
      <c r="I41">
        <v>3</v>
      </c>
      <c r="J41" s="34">
        <v>46126</v>
      </c>
      <c r="K41" t="s">
        <v>225</v>
      </c>
      <c r="L41" s="33">
        <v>225000</v>
      </c>
      <c r="M41">
        <v>6</v>
      </c>
      <c r="N41" s="36">
        <v>9.3000000000000007</v>
      </c>
      <c r="O41" t="s">
        <v>226</v>
      </c>
    </row>
    <row r="42" spans="1:15" x14ac:dyDescent="0.3">
      <c r="A42" t="s">
        <v>328</v>
      </c>
      <c r="B42" t="s">
        <v>329</v>
      </c>
      <c r="C42" t="s">
        <v>61</v>
      </c>
      <c r="D42">
        <v>36</v>
      </c>
      <c r="E42" t="s">
        <v>52</v>
      </c>
      <c r="F42" t="s">
        <v>228</v>
      </c>
      <c r="G42" t="s">
        <v>330</v>
      </c>
      <c r="H42" s="33">
        <v>1200</v>
      </c>
      <c r="I42">
        <v>2</v>
      </c>
      <c r="J42" s="34">
        <v>46191</v>
      </c>
      <c r="K42" t="s">
        <v>225</v>
      </c>
      <c r="L42" s="33">
        <v>225000</v>
      </c>
      <c r="M42">
        <v>10</v>
      </c>
      <c r="N42" s="36">
        <v>11.2</v>
      </c>
      <c r="O42" t="s">
        <v>226</v>
      </c>
    </row>
    <row r="43" spans="1:15" x14ac:dyDescent="0.3">
      <c r="A43" t="s">
        <v>331</v>
      </c>
      <c r="B43" t="s">
        <v>332</v>
      </c>
      <c r="C43" t="s">
        <v>55</v>
      </c>
      <c r="D43">
        <v>48</v>
      </c>
      <c r="E43" t="s">
        <v>47</v>
      </c>
      <c r="F43" t="s">
        <v>14</v>
      </c>
      <c r="G43" t="s">
        <v>224</v>
      </c>
      <c r="H43" s="33">
        <v>12000</v>
      </c>
      <c r="I43">
        <v>2</v>
      </c>
      <c r="J43" s="34">
        <v>46060</v>
      </c>
      <c r="K43" t="s">
        <v>225</v>
      </c>
      <c r="L43" s="33">
        <v>80000</v>
      </c>
      <c r="M43">
        <v>5</v>
      </c>
      <c r="N43" s="36">
        <v>12.4</v>
      </c>
      <c r="O43" t="s">
        <v>226</v>
      </c>
    </row>
    <row r="44" spans="1:15" x14ac:dyDescent="0.3">
      <c r="A44" t="s">
        <v>333</v>
      </c>
      <c r="B44" t="s">
        <v>334</v>
      </c>
      <c r="C44" t="s">
        <v>61</v>
      </c>
      <c r="D44">
        <v>35</v>
      </c>
      <c r="E44" t="s">
        <v>47</v>
      </c>
      <c r="F44" t="s">
        <v>234</v>
      </c>
      <c r="G44" t="s">
        <v>255</v>
      </c>
      <c r="H44" s="33">
        <v>850</v>
      </c>
      <c r="I44">
        <v>4</v>
      </c>
      <c r="J44" s="34">
        <v>46085</v>
      </c>
      <c r="K44" t="s">
        <v>236</v>
      </c>
      <c r="L44" s="33">
        <v>70000</v>
      </c>
      <c r="M44">
        <v>3</v>
      </c>
      <c r="N44" s="36">
        <v>11.6</v>
      </c>
      <c r="O44" t="s">
        <v>226</v>
      </c>
    </row>
    <row r="45" spans="1:15" x14ac:dyDescent="0.3">
      <c r="A45" t="s">
        <v>335</v>
      </c>
      <c r="B45" t="s">
        <v>336</v>
      </c>
      <c r="C45" t="s">
        <v>245</v>
      </c>
      <c r="D45">
        <v>47</v>
      </c>
      <c r="E45" t="s">
        <v>52</v>
      </c>
      <c r="F45" t="s">
        <v>7</v>
      </c>
      <c r="G45" t="s">
        <v>269</v>
      </c>
      <c r="H45" s="33">
        <v>6500</v>
      </c>
      <c r="I45">
        <v>2</v>
      </c>
      <c r="J45" s="34">
        <v>46054</v>
      </c>
      <c r="K45" t="s">
        <v>230</v>
      </c>
      <c r="L45" s="33">
        <v>120000</v>
      </c>
      <c r="M45">
        <v>9</v>
      </c>
      <c r="N45" s="36">
        <v>11.2</v>
      </c>
      <c r="O45" t="s">
        <v>226</v>
      </c>
    </row>
    <row r="46" spans="1:15" x14ac:dyDescent="0.3">
      <c r="A46" t="s">
        <v>337</v>
      </c>
      <c r="B46" t="s">
        <v>187</v>
      </c>
      <c r="C46" t="s">
        <v>233</v>
      </c>
      <c r="D46">
        <v>50</v>
      </c>
      <c r="E46" t="s">
        <v>52</v>
      </c>
      <c r="F46" t="s">
        <v>238</v>
      </c>
      <c r="G46" t="s">
        <v>295</v>
      </c>
      <c r="H46" s="33">
        <v>700</v>
      </c>
      <c r="I46">
        <v>4</v>
      </c>
      <c r="J46" s="34">
        <v>46163</v>
      </c>
      <c r="K46" t="s">
        <v>230</v>
      </c>
      <c r="L46" s="33">
        <v>150000</v>
      </c>
      <c r="M46">
        <v>9</v>
      </c>
      <c r="N46" s="36">
        <v>10.3</v>
      </c>
      <c r="O46" t="s">
        <v>226</v>
      </c>
    </row>
    <row r="47" spans="1:15" x14ac:dyDescent="0.3">
      <c r="A47" t="s">
        <v>338</v>
      </c>
      <c r="B47" t="s">
        <v>339</v>
      </c>
      <c r="C47" t="s">
        <v>185</v>
      </c>
      <c r="D47">
        <v>42</v>
      </c>
      <c r="E47" t="s">
        <v>52</v>
      </c>
      <c r="F47" t="s">
        <v>238</v>
      </c>
      <c r="G47" t="s">
        <v>340</v>
      </c>
      <c r="H47" s="33">
        <v>1600</v>
      </c>
      <c r="I47">
        <v>2</v>
      </c>
      <c r="J47" s="34">
        <v>46093</v>
      </c>
      <c r="K47" t="s">
        <v>230</v>
      </c>
      <c r="L47" s="33">
        <v>90000</v>
      </c>
      <c r="M47">
        <v>6</v>
      </c>
      <c r="N47" s="36">
        <v>9.4</v>
      </c>
      <c r="O47" t="s">
        <v>226</v>
      </c>
    </row>
    <row r="48" spans="1:15" x14ac:dyDescent="0.3">
      <c r="A48" t="s">
        <v>341</v>
      </c>
      <c r="B48" t="s">
        <v>342</v>
      </c>
      <c r="C48" t="s">
        <v>83</v>
      </c>
      <c r="D48">
        <v>50</v>
      </c>
      <c r="E48" t="s">
        <v>47</v>
      </c>
      <c r="F48" t="s">
        <v>228</v>
      </c>
      <c r="G48" t="s">
        <v>313</v>
      </c>
      <c r="H48" s="33">
        <v>2800</v>
      </c>
      <c r="I48">
        <v>2</v>
      </c>
      <c r="J48" s="34">
        <v>46121</v>
      </c>
      <c r="K48" t="s">
        <v>236</v>
      </c>
      <c r="L48" s="33">
        <v>175000</v>
      </c>
      <c r="M48">
        <v>3</v>
      </c>
      <c r="N48" s="36">
        <v>10.199999999999999</v>
      </c>
      <c r="O48" t="s">
        <v>226</v>
      </c>
    </row>
    <row r="49" spans="1:15" x14ac:dyDescent="0.3">
      <c r="A49" t="s">
        <v>343</v>
      </c>
      <c r="B49" t="s">
        <v>344</v>
      </c>
      <c r="C49" t="s">
        <v>87</v>
      </c>
      <c r="D49">
        <v>36</v>
      </c>
      <c r="E49" t="s">
        <v>52</v>
      </c>
      <c r="F49" t="s">
        <v>7</v>
      </c>
      <c r="G49" t="s">
        <v>242</v>
      </c>
      <c r="H49" s="33">
        <v>18000</v>
      </c>
      <c r="I49">
        <v>4</v>
      </c>
      <c r="J49" s="34">
        <v>46122</v>
      </c>
      <c r="K49" t="s">
        <v>225</v>
      </c>
      <c r="L49" s="33">
        <v>600000</v>
      </c>
      <c r="M49">
        <v>8</v>
      </c>
      <c r="N49" s="36">
        <v>10.4</v>
      </c>
      <c r="O49" t="s">
        <v>226</v>
      </c>
    </row>
    <row r="50" spans="1:15" x14ac:dyDescent="0.3">
      <c r="A50" t="s">
        <v>345</v>
      </c>
      <c r="B50" t="s">
        <v>346</v>
      </c>
      <c r="C50" t="s">
        <v>65</v>
      </c>
      <c r="D50">
        <v>46</v>
      </c>
      <c r="E50" t="s">
        <v>52</v>
      </c>
      <c r="F50" t="s">
        <v>234</v>
      </c>
      <c r="G50" t="s">
        <v>285</v>
      </c>
      <c r="H50" s="33">
        <v>2200</v>
      </c>
      <c r="I50">
        <v>4</v>
      </c>
      <c r="J50" s="34">
        <v>46079</v>
      </c>
      <c r="K50" t="s">
        <v>251</v>
      </c>
      <c r="L50" s="33">
        <v>350000</v>
      </c>
      <c r="M50">
        <v>9</v>
      </c>
      <c r="N50" s="36">
        <v>8.6</v>
      </c>
      <c r="O50" t="s">
        <v>226</v>
      </c>
    </row>
    <row r="51" spans="1:15" x14ac:dyDescent="0.3">
      <c r="A51" t="s">
        <v>347</v>
      </c>
      <c r="B51" t="s">
        <v>348</v>
      </c>
      <c r="C51" t="s">
        <v>96</v>
      </c>
      <c r="D51">
        <v>43</v>
      </c>
      <c r="E51" t="s">
        <v>52</v>
      </c>
      <c r="F51" t="s">
        <v>228</v>
      </c>
      <c r="G51" t="s">
        <v>330</v>
      </c>
      <c r="H51" s="33">
        <v>1200</v>
      </c>
      <c r="I51">
        <v>2</v>
      </c>
      <c r="J51" s="34">
        <v>46182</v>
      </c>
      <c r="K51" t="s">
        <v>225</v>
      </c>
      <c r="L51" s="33">
        <v>300000</v>
      </c>
      <c r="M51">
        <v>2</v>
      </c>
      <c r="N51" s="36">
        <v>8.8000000000000007</v>
      </c>
      <c r="O51" t="s">
        <v>247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A3163-9C4F-4CE2-8030-322E6A724032}">
  <dimension ref="A1:V81"/>
  <sheetViews>
    <sheetView tabSelected="1" topLeftCell="K55" zoomScale="80" zoomScaleNormal="80" workbookViewId="0">
      <selection activeCell="Q80" sqref="Q80"/>
    </sheetView>
  </sheetViews>
  <sheetFormatPr defaultRowHeight="14.4" x14ac:dyDescent="0.3"/>
  <cols>
    <col min="1" max="1" width="16.5546875" bestFit="1" customWidth="1"/>
    <col min="2" max="2" width="15.109375" customWidth="1"/>
    <col min="3" max="3" width="12.33203125" customWidth="1"/>
    <col min="4" max="4" width="17.21875" bestFit="1" customWidth="1"/>
    <col min="5" max="5" width="8" customWidth="1"/>
    <col min="6" max="6" width="16.33203125" bestFit="1" customWidth="1"/>
    <col min="7" max="7" width="11.109375" bestFit="1" customWidth="1"/>
    <col min="9" max="9" width="8.44140625" bestFit="1" customWidth="1"/>
    <col min="10" max="10" width="11" bestFit="1" customWidth="1"/>
    <col min="11" max="11" width="16.77734375" bestFit="1" customWidth="1"/>
    <col min="12" max="12" width="13.109375" bestFit="1" customWidth="1"/>
    <col min="13" max="13" width="12.109375" bestFit="1" customWidth="1"/>
    <col min="14" max="14" width="12.77734375" bestFit="1" customWidth="1"/>
    <col min="15" max="15" width="11.33203125" bestFit="1" customWidth="1"/>
    <col min="17" max="17" width="60.6640625" customWidth="1"/>
    <col min="18" max="18" width="20.77734375" bestFit="1" customWidth="1"/>
    <col min="19" max="19" width="10.77734375" bestFit="1" customWidth="1"/>
    <col min="20" max="20" width="11.33203125" bestFit="1" customWidth="1"/>
    <col min="21" max="21" width="9.6640625" bestFit="1" customWidth="1"/>
    <col min="22" max="22" width="33.21875" bestFit="1" customWidth="1"/>
  </cols>
  <sheetData>
    <row r="1" spans="1:22" x14ac:dyDescent="0.3">
      <c r="A1" s="42" t="s">
        <v>211</v>
      </c>
      <c r="B1" s="35" t="s">
        <v>212</v>
      </c>
      <c r="C1" s="41" t="s">
        <v>43</v>
      </c>
      <c r="D1" s="35" t="s">
        <v>37</v>
      </c>
      <c r="E1" s="35" t="s">
        <v>38</v>
      </c>
      <c r="F1" s="35" t="s">
        <v>213</v>
      </c>
      <c r="G1" s="35" t="s">
        <v>214</v>
      </c>
      <c r="H1" s="35" t="s">
        <v>215</v>
      </c>
      <c r="I1" s="35" t="s">
        <v>216</v>
      </c>
      <c r="J1" s="35" t="s">
        <v>217</v>
      </c>
      <c r="K1" s="35" t="s">
        <v>218</v>
      </c>
      <c r="L1" s="35" t="s">
        <v>219</v>
      </c>
      <c r="M1" s="35" t="s">
        <v>220</v>
      </c>
      <c r="N1" s="35" t="s">
        <v>221</v>
      </c>
      <c r="O1" s="35" t="s">
        <v>222</v>
      </c>
      <c r="Q1" s="38" t="s">
        <v>363</v>
      </c>
      <c r="R1" s="38" t="s">
        <v>364</v>
      </c>
      <c r="S1" s="38" t="s">
        <v>365</v>
      </c>
      <c r="T1" s="38" t="s">
        <v>366</v>
      </c>
      <c r="U1" s="38" t="s">
        <v>367</v>
      </c>
      <c r="V1" s="38" t="s">
        <v>368</v>
      </c>
    </row>
    <row r="2" spans="1:22" x14ac:dyDescent="0.3">
      <c r="A2" t="s">
        <v>223</v>
      </c>
      <c r="B2" t="s">
        <v>200</v>
      </c>
      <c r="C2" t="s">
        <v>96</v>
      </c>
      <c r="D2">
        <v>25</v>
      </c>
      <c r="E2" t="s">
        <v>47</v>
      </c>
      <c r="F2" t="s">
        <v>14</v>
      </c>
      <c r="G2" t="s">
        <v>224</v>
      </c>
      <c r="H2" s="33">
        <v>12000</v>
      </c>
      <c r="I2">
        <v>2</v>
      </c>
      <c r="J2" s="34">
        <v>46058</v>
      </c>
      <c r="K2" t="s">
        <v>225</v>
      </c>
      <c r="L2" s="33">
        <v>550000</v>
      </c>
      <c r="M2">
        <v>3</v>
      </c>
      <c r="N2" s="36">
        <v>10.9</v>
      </c>
      <c r="O2" t="s">
        <v>226</v>
      </c>
      <c r="Q2" t="str">
        <f>LOWER(B2)</f>
        <v>rahul</v>
      </c>
      <c r="R2" t="str">
        <f>UPPER(C2)</f>
        <v>CHANDIGARH</v>
      </c>
      <c r="S2" t="str">
        <f>PROPER(B2)</f>
        <v>Rahul</v>
      </c>
      <c r="T2" t="str">
        <f>LEFT(C2,5)</f>
        <v>Chand</v>
      </c>
      <c r="U2" t="str">
        <f>RIGHT(F2,4)</f>
        <v>ture</v>
      </c>
      <c r="V2">
        <f>LEN(B2)</f>
        <v>5</v>
      </c>
    </row>
    <row r="3" spans="1:22" x14ac:dyDescent="0.3">
      <c r="A3" t="s">
        <v>227</v>
      </c>
      <c r="B3" t="s">
        <v>196</v>
      </c>
      <c r="C3" t="s">
        <v>50</v>
      </c>
      <c r="D3">
        <v>24</v>
      </c>
      <c r="E3" t="s">
        <v>47</v>
      </c>
      <c r="F3" t="s">
        <v>228</v>
      </c>
      <c r="G3" t="s">
        <v>229</v>
      </c>
      <c r="H3" s="33">
        <v>2500</v>
      </c>
      <c r="I3">
        <v>5</v>
      </c>
      <c r="J3" s="34">
        <v>46073</v>
      </c>
      <c r="K3" t="s">
        <v>230</v>
      </c>
      <c r="L3" s="33">
        <v>180000</v>
      </c>
      <c r="M3">
        <v>9</v>
      </c>
      <c r="N3" s="36">
        <v>10.9</v>
      </c>
      <c r="O3" t="s">
        <v>226</v>
      </c>
      <c r="Q3" t="str">
        <f t="shared" ref="Q3:Q22" si="0">LOWER(B3)</f>
        <v>priya</v>
      </c>
      <c r="R3" t="str">
        <f t="shared" ref="R3:R9" si="1">UPPER(C3)</f>
        <v>DELHI</v>
      </c>
      <c r="S3" t="str">
        <f t="shared" ref="S3:S23" si="2">PROPER(B3)</f>
        <v>Priya</v>
      </c>
      <c r="T3" t="str">
        <f t="shared" ref="T3:T11" si="3">LEFT(C3,5)</f>
        <v>Delhi</v>
      </c>
      <c r="U3" t="str">
        <f t="shared" ref="U3:U11" si="4">RIGHT(F3,4)</f>
        <v>hion</v>
      </c>
      <c r="V3">
        <f t="shared" ref="V3:V9" si="5">LEN(B3)</f>
        <v>5</v>
      </c>
    </row>
    <row r="4" spans="1:22" x14ac:dyDescent="0.3">
      <c r="A4" t="s">
        <v>231</v>
      </c>
      <c r="B4" t="s">
        <v>232</v>
      </c>
      <c r="C4" t="s">
        <v>233</v>
      </c>
      <c r="D4">
        <v>47</v>
      </c>
      <c r="E4" t="s">
        <v>47</v>
      </c>
      <c r="F4" t="s">
        <v>234</v>
      </c>
      <c r="G4" t="s">
        <v>235</v>
      </c>
      <c r="H4" s="33">
        <v>2900</v>
      </c>
      <c r="I4">
        <v>3</v>
      </c>
      <c r="J4" s="34">
        <v>46062</v>
      </c>
      <c r="K4" t="s">
        <v>236</v>
      </c>
      <c r="L4" s="33">
        <v>250000</v>
      </c>
      <c r="M4">
        <v>3</v>
      </c>
      <c r="N4" s="36">
        <v>8.9</v>
      </c>
      <c r="O4" t="s">
        <v>226</v>
      </c>
      <c r="Q4" t="str">
        <f t="shared" si="0"/>
        <v>amit</v>
      </c>
      <c r="R4" t="str">
        <f t="shared" si="1"/>
        <v>KOLKATA</v>
      </c>
      <c r="S4" t="str">
        <f t="shared" si="2"/>
        <v>Amit</v>
      </c>
      <c r="T4" t="str">
        <f t="shared" si="3"/>
        <v>Kolka</v>
      </c>
      <c r="U4" t="str">
        <f t="shared" si="4"/>
        <v>auty</v>
      </c>
      <c r="V4">
        <f t="shared" si="5"/>
        <v>4</v>
      </c>
    </row>
    <row r="5" spans="1:22" x14ac:dyDescent="0.3">
      <c r="A5" t="s">
        <v>237</v>
      </c>
      <c r="B5" t="s">
        <v>201</v>
      </c>
      <c r="C5" t="s">
        <v>83</v>
      </c>
      <c r="D5">
        <v>49</v>
      </c>
      <c r="E5" t="s">
        <v>52</v>
      </c>
      <c r="F5" t="s">
        <v>238</v>
      </c>
      <c r="G5" t="s">
        <v>239</v>
      </c>
      <c r="H5" s="33">
        <v>1800</v>
      </c>
      <c r="I5">
        <v>1</v>
      </c>
      <c r="J5" s="34">
        <v>46140</v>
      </c>
      <c r="K5" t="s">
        <v>225</v>
      </c>
      <c r="L5" s="33">
        <v>300000</v>
      </c>
      <c r="M5">
        <v>3</v>
      </c>
      <c r="N5" s="36">
        <v>10.7</v>
      </c>
      <c r="O5" t="s">
        <v>226</v>
      </c>
      <c r="Q5" t="str">
        <f t="shared" si="0"/>
        <v>neha</v>
      </c>
      <c r="R5" t="str">
        <f t="shared" si="1"/>
        <v>JAIPUR</v>
      </c>
      <c r="S5" t="str">
        <f t="shared" si="2"/>
        <v>Neha</v>
      </c>
      <c r="T5" t="str">
        <f t="shared" si="3"/>
        <v>Jaipu</v>
      </c>
      <c r="U5" t="str">
        <f t="shared" si="4"/>
        <v>cery</v>
      </c>
      <c r="V5">
        <f t="shared" si="5"/>
        <v>4</v>
      </c>
    </row>
    <row r="6" spans="1:22" x14ac:dyDescent="0.3">
      <c r="A6" t="s">
        <v>240</v>
      </c>
      <c r="B6" t="s">
        <v>241</v>
      </c>
      <c r="C6" t="s">
        <v>103</v>
      </c>
      <c r="D6">
        <v>28</v>
      </c>
      <c r="E6" t="s">
        <v>47</v>
      </c>
      <c r="F6" t="s">
        <v>7</v>
      </c>
      <c r="G6" t="s">
        <v>242</v>
      </c>
      <c r="H6" s="33">
        <v>18000</v>
      </c>
      <c r="I6">
        <v>3</v>
      </c>
      <c r="J6" s="34">
        <v>46043</v>
      </c>
      <c r="K6" t="s">
        <v>236</v>
      </c>
      <c r="L6" s="33">
        <v>100000</v>
      </c>
      <c r="M6">
        <v>8</v>
      </c>
      <c r="N6" s="36">
        <v>9.6</v>
      </c>
      <c r="O6" t="s">
        <v>226</v>
      </c>
      <c r="Q6" t="str">
        <f t="shared" si="0"/>
        <v>rohit</v>
      </c>
      <c r="R6" t="str">
        <f t="shared" si="1"/>
        <v>LUCKNOW</v>
      </c>
      <c r="S6" t="str">
        <f t="shared" si="2"/>
        <v>Rohit</v>
      </c>
      <c r="T6" t="str">
        <f t="shared" si="3"/>
        <v>Luckn</v>
      </c>
      <c r="U6" t="str">
        <f t="shared" si="4"/>
        <v>nics</v>
      </c>
      <c r="V6">
        <f t="shared" si="5"/>
        <v>5</v>
      </c>
    </row>
    <row r="7" spans="1:22" x14ac:dyDescent="0.3">
      <c r="A7" t="s">
        <v>243</v>
      </c>
      <c r="B7" t="s">
        <v>244</v>
      </c>
      <c r="C7" t="s">
        <v>245</v>
      </c>
      <c r="D7">
        <v>33</v>
      </c>
      <c r="E7" t="s">
        <v>52</v>
      </c>
      <c r="F7" t="s">
        <v>228</v>
      </c>
      <c r="G7" t="s">
        <v>246</v>
      </c>
      <c r="H7" s="33">
        <v>4200</v>
      </c>
      <c r="I7">
        <v>1</v>
      </c>
      <c r="J7" s="34">
        <v>46178</v>
      </c>
      <c r="K7" t="s">
        <v>236</v>
      </c>
      <c r="L7" s="33">
        <v>550000</v>
      </c>
      <c r="M7">
        <v>5</v>
      </c>
      <c r="N7" s="36">
        <v>9.1999999999999993</v>
      </c>
      <c r="O7" t="s">
        <v>247</v>
      </c>
      <c r="Q7" t="str">
        <f t="shared" si="0"/>
        <v>anjali</v>
      </c>
      <c r="R7" t="str">
        <f t="shared" si="1"/>
        <v>NOIDA</v>
      </c>
      <c r="S7" t="str">
        <f t="shared" si="2"/>
        <v>Anjali</v>
      </c>
      <c r="T7" t="str">
        <f t="shared" si="3"/>
        <v>Noida</v>
      </c>
      <c r="U7" t="str">
        <f t="shared" si="4"/>
        <v>hion</v>
      </c>
      <c r="V7">
        <f t="shared" si="5"/>
        <v>6</v>
      </c>
    </row>
    <row r="8" spans="1:22" x14ac:dyDescent="0.3">
      <c r="A8" t="s">
        <v>248</v>
      </c>
      <c r="B8" t="s">
        <v>370</v>
      </c>
      <c r="C8" t="s">
        <v>65</v>
      </c>
      <c r="D8">
        <v>51</v>
      </c>
      <c r="E8" t="s">
        <v>47</v>
      </c>
      <c r="F8" t="s">
        <v>14</v>
      </c>
      <c r="G8" t="s">
        <v>250</v>
      </c>
      <c r="H8" s="33">
        <v>4500</v>
      </c>
      <c r="I8">
        <v>2</v>
      </c>
      <c r="J8" s="34">
        <v>46031</v>
      </c>
      <c r="K8" t="s">
        <v>251</v>
      </c>
      <c r="L8" s="33">
        <v>300000</v>
      </c>
      <c r="M8">
        <v>6</v>
      </c>
      <c r="N8" s="36">
        <v>8.8000000000000007</v>
      </c>
      <c r="O8" t="s">
        <v>226</v>
      </c>
      <c r="Q8" t="str">
        <f t="shared" si="0"/>
        <v xml:space="preserve"> vikas sharma </v>
      </c>
      <c r="R8" t="str">
        <f t="shared" si="1"/>
        <v>PUNE</v>
      </c>
      <c r="S8" t="str">
        <f t="shared" si="2"/>
        <v xml:space="preserve"> Vikas Sharma </v>
      </c>
      <c r="T8" t="str">
        <f t="shared" si="3"/>
        <v>Pune</v>
      </c>
      <c r="U8" t="str">
        <f t="shared" si="4"/>
        <v>ture</v>
      </c>
      <c r="V8">
        <f>LEN(Q26)</f>
        <v>12</v>
      </c>
    </row>
    <row r="9" spans="1:22" x14ac:dyDescent="0.3">
      <c r="A9" t="s">
        <v>252</v>
      </c>
      <c r="B9" t="s">
        <v>253</v>
      </c>
      <c r="C9" t="s">
        <v>254</v>
      </c>
      <c r="D9">
        <v>42</v>
      </c>
      <c r="E9" t="s">
        <v>52</v>
      </c>
      <c r="F9" t="s">
        <v>234</v>
      </c>
      <c r="G9" t="s">
        <v>255</v>
      </c>
      <c r="H9" s="33">
        <v>850</v>
      </c>
      <c r="I9">
        <v>2</v>
      </c>
      <c r="J9" s="34">
        <v>46090</v>
      </c>
      <c r="K9" t="s">
        <v>236</v>
      </c>
      <c r="L9" s="33">
        <v>180000</v>
      </c>
      <c r="M9">
        <v>10</v>
      </c>
      <c r="N9" s="36">
        <v>10.7</v>
      </c>
      <c r="O9" t="s">
        <v>247</v>
      </c>
      <c r="Q9" t="str">
        <f t="shared" si="0"/>
        <v>pooja</v>
      </c>
      <c r="R9" t="str">
        <f t="shared" si="1"/>
        <v>GURGAON</v>
      </c>
      <c r="S9" t="str">
        <f t="shared" si="2"/>
        <v>Pooja</v>
      </c>
      <c r="T9" t="str">
        <f t="shared" si="3"/>
        <v>Gurga</v>
      </c>
      <c r="U9" t="str">
        <f t="shared" si="4"/>
        <v>auty</v>
      </c>
      <c r="V9">
        <f t="shared" si="5"/>
        <v>5</v>
      </c>
    </row>
    <row r="10" spans="1:22" x14ac:dyDescent="0.3">
      <c r="A10" t="s">
        <v>256</v>
      </c>
      <c r="B10" t="s">
        <v>257</v>
      </c>
      <c r="C10" t="s">
        <v>258</v>
      </c>
      <c r="D10">
        <v>40</v>
      </c>
      <c r="E10" t="s">
        <v>52</v>
      </c>
      <c r="F10" t="s">
        <v>14</v>
      </c>
      <c r="G10" t="s">
        <v>224</v>
      </c>
      <c r="H10" s="33">
        <v>12000</v>
      </c>
      <c r="I10">
        <v>2</v>
      </c>
      <c r="J10" s="34">
        <v>46153</v>
      </c>
      <c r="K10" t="s">
        <v>230</v>
      </c>
      <c r="L10" s="33">
        <v>90000</v>
      </c>
      <c r="M10">
        <v>2</v>
      </c>
      <c r="N10" s="36">
        <v>11.9</v>
      </c>
      <c r="O10" t="s">
        <v>226</v>
      </c>
      <c r="Q10" t="str">
        <f t="shared" si="0"/>
        <v>suresh</v>
      </c>
      <c r="S10" t="str">
        <f t="shared" si="2"/>
        <v>Suresh</v>
      </c>
      <c r="T10" t="str">
        <f t="shared" si="3"/>
        <v>Nagpu</v>
      </c>
      <c r="U10" t="str">
        <f t="shared" si="4"/>
        <v>ture</v>
      </c>
    </row>
    <row r="11" spans="1:22" x14ac:dyDescent="0.3">
      <c r="A11" t="s">
        <v>259</v>
      </c>
      <c r="B11" t="s">
        <v>260</v>
      </c>
      <c r="C11" t="s">
        <v>96</v>
      </c>
      <c r="D11">
        <v>27</v>
      </c>
      <c r="E11" t="s">
        <v>52</v>
      </c>
      <c r="F11" t="s">
        <v>238</v>
      </c>
      <c r="G11" t="s">
        <v>261</v>
      </c>
      <c r="H11" s="33">
        <v>1200</v>
      </c>
      <c r="I11">
        <v>4</v>
      </c>
      <c r="J11" s="34">
        <v>46120</v>
      </c>
      <c r="K11" t="s">
        <v>230</v>
      </c>
      <c r="L11" s="33">
        <v>500000</v>
      </c>
      <c r="M11">
        <v>6</v>
      </c>
      <c r="N11" s="36">
        <v>12.4</v>
      </c>
      <c r="O11" t="s">
        <v>226</v>
      </c>
      <c r="Q11" t="str">
        <f t="shared" si="0"/>
        <v>kavita</v>
      </c>
      <c r="S11" t="str">
        <f t="shared" si="2"/>
        <v>Kavita</v>
      </c>
      <c r="T11" t="str">
        <f t="shared" si="3"/>
        <v>Chand</v>
      </c>
      <c r="U11" t="str">
        <f t="shared" si="4"/>
        <v>cery</v>
      </c>
    </row>
    <row r="12" spans="1:22" x14ac:dyDescent="0.3">
      <c r="A12" t="s">
        <v>262</v>
      </c>
      <c r="B12" t="s">
        <v>181</v>
      </c>
      <c r="C12" t="s">
        <v>96</v>
      </c>
      <c r="D12">
        <v>45</v>
      </c>
      <c r="E12" t="s">
        <v>47</v>
      </c>
      <c r="F12" t="s">
        <v>238</v>
      </c>
      <c r="G12" t="s">
        <v>239</v>
      </c>
      <c r="H12" s="33">
        <v>1800</v>
      </c>
      <c r="I12">
        <v>3</v>
      </c>
      <c r="J12" s="34">
        <v>46051</v>
      </c>
      <c r="K12" t="s">
        <v>251</v>
      </c>
      <c r="L12" s="33">
        <v>350000</v>
      </c>
      <c r="M12">
        <v>4</v>
      </c>
      <c r="N12" s="36">
        <v>10.3</v>
      </c>
      <c r="O12" t="s">
        <v>226</v>
      </c>
      <c r="Q12" t="str">
        <f t="shared" si="0"/>
        <v>arjun</v>
      </c>
      <c r="S12" t="str">
        <f t="shared" si="2"/>
        <v>Arjun</v>
      </c>
    </row>
    <row r="13" spans="1:22" x14ac:dyDescent="0.3">
      <c r="A13" t="s">
        <v>263</v>
      </c>
      <c r="B13" t="s">
        <v>264</v>
      </c>
      <c r="C13" t="s">
        <v>87</v>
      </c>
      <c r="D13">
        <v>46</v>
      </c>
      <c r="E13" t="s">
        <v>47</v>
      </c>
      <c r="F13" t="s">
        <v>238</v>
      </c>
      <c r="G13" t="s">
        <v>261</v>
      </c>
      <c r="H13" s="33">
        <v>1200</v>
      </c>
      <c r="I13">
        <v>3</v>
      </c>
      <c r="J13" s="34">
        <v>46186</v>
      </c>
      <c r="K13" t="s">
        <v>236</v>
      </c>
      <c r="L13" s="33">
        <v>120000</v>
      </c>
      <c r="M13">
        <v>7</v>
      </c>
      <c r="N13" s="36">
        <v>11.6</v>
      </c>
      <c r="O13" t="s">
        <v>226</v>
      </c>
      <c r="Q13" t="str">
        <f t="shared" si="0"/>
        <v>simran</v>
      </c>
      <c r="S13" t="str">
        <f t="shared" si="2"/>
        <v>Simran</v>
      </c>
    </row>
    <row r="14" spans="1:22" x14ac:dyDescent="0.3">
      <c r="A14" t="s">
        <v>265</v>
      </c>
      <c r="B14" t="s">
        <v>266</v>
      </c>
      <c r="C14" t="s">
        <v>103</v>
      </c>
      <c r="D14">
        <v>32</v>
      </c>
      <c r="E14" t="s">
        <v>52</v>
      </c>
      <c r="F14" t="s">
        <v>7</v>
      </c>
      <c r="G14" t="s">
        <v>267</v>
      </c>
      <c r="H14" s="33">
        <v>1800</v>
      </c>
      <c r="I14">
        <v>3</v>
      </c>
      <c r="J14" s="34">
        <v>46101</v>
      </c>
      <c r="K14" t="s">
        <v>236</v>
      </c>
      <c r="L14" s="33">
        <v>80000</v>
      </c>
      <c r="M14">
        <v>5</v>
      </c>
      <c r="N14" s="36">
        <v>12</v>
      </c>
      <c r="O14" t="s">
        <v>226</v>
      </c>
      <c r="Q14" t="str">
        <f t="shared" si="0"/>
        <v>manish</v>
      </c>
      <c r="S14" t="str">
        <f t="shared" si="2"/>
        <v>Manish</v>
      </c>
    </row>
    <row r="15" spans="1:22" x14ac:dyDescent="0.3">
      <c r="A15" t="s">
        <v>268</v>
      </c>
      <c r="B15" t="s">
        <v>199</v>
      </c>
      <c r="C15" t="s">
        <v>55</v>
      </c>
      <c r="D15">
        <v>45</v>
      </c>
      <c r="E15" t="s">
        <v>52</v>
      </c>
      <c r="F15" t="s">
        <v>7</v>
      </c>
      <c r="G15" t="s">
        <v>269</v>
      </c>
      <c r="H15" s="33">
        <v>6500</v>
      </c>
      <c r="I15">
        <v>2</v>
      </c>
      <c r="J15" s="34">
        <v>46055</v>
      </c>
      <c r="K15" t="s">
        <v>230</v>
      </c>
      <c r="L15" s="33">
        <v>550000</v>
      </c>
      <c r="M15">
        <v>4</v>
      </c>
      <c r="N15" s="36">
        <v>9.6</v>
      </c>
      <c r="O15" t="s">
        <v>247</v>
      </c>
      <c r="Q15" t="str">
        <f t="shared" si="0"/>
        <v>riya</v>
      </c>
      <c r="S15" t="str">
        <f t="shared" si="2"/>
        <v>Riya</v>
      </c>
    </row>
    <row r="16" spans="1:22" x14ac:dyDescent="0.3">
      <c r="A16" t="s">
        <v>270</v>
      </c>
      <c r="B16" t="s">
        <v>271</v>
      </c>
      <c r="C16" t="s">
        <v>254</v>
      </c>
      <c r="D16">
        <v>51</v>
      </c>
      <c r="E16" t="s">
        <v>47</v>
      </c>
      <c r="F16" t="s">
        <v>14</v>
      </c>
      <c r="G16" t="s">
        <v>272</v>
      </c>
      <c r="H16" s="33">
        <v>35000</v>
      </c>
      <c r="I16">
        <v>3</v>
      </c>
      <c r="J16" s="34">
        <v>46135</v>
      </c>
      <c r="K16" t="s">
        <v>230</v>
      </c>
      <c r="L16" s="33">
        <v>100000</v>
      </c>
      <c r="M16">
        <v>5</v>
      </c>
      <c r="N16" s="36">
        <v>9.4</v>
      </c>
      <c r="O16" t="s">
        <v>226</v>
      </c>
      <c r="Q16" t="str">
        <f t="shared" si="0"/>
        <v>deepak</v>
      </c>
      <c r="S16" t="str">
        <f t="shared" si="2"/>
        <v>Deepak</v>
      </c>
    </row>
    <row r="17" spans="1:22" x14ac:dyDescent="0.3">
      <c r="A17" t="s">
        <v>273</v>
      </c>
      <c r="B17" t="s">
        <v>197</v>
      </c>
      <c r="C17" t="s">
        <v>50</v>
      </c>
      <c r="D17">
        <v>40</v>
      </c>
      <c r="E17" t="s">
        <v>47</v>
      </c>
      <c r="F17" t="s">
        <v>238</v>
      </c>
      <c r="G17" t="s">
        <v>274</v>
      </c>
      <c r="H17" s="33">
        <v>850</v>
      </c>
      <c r="I17">
        <v>1</v>
      </c>
      <c r="J17" s="34">
        <v>46041</v>
      </c>
      <c r="K17" t="s">
        <v>225</v>
      </c>
      <c r="L17" s="33">
        <v>180000</v>
      </c>
      <c r="M17">
        <v>3</v>
      </c>
      <c r="N17" s="36">
        <v>12.1</v>
      </c>
      <c r="O17" t="s">
        <v>226</v>
      </c>
      <c r="Q17" t="str">
        <f t="shared" si="0"/>
        <v>sneha</v>
      </c>
      <c r="S17" t="str">
        <f t="shared" si="2"/>
        <v>Sneha</v>
      </c>
    </row>
    <row r="18" spans="1:22" x14ac:dyDescent="0.3">
      <c r="A18" t="s">
        <v>275</v>
      </c>
      <c r="B18" t="s">
        <v>276</v>
      </c>
      <c r="C18" t="s">
        <v>55</v>
      </c>
      <c r="D18">
        <v>38</v>
      </c>
      <c r="E18" t="s">
        <v>47</v>
      </c>
      <c r="F18" t="s">
        <v>14</v>
      </c>
      <c r="G18" t="s">
        <v>277</v>
      </c>
      <c r="H18" s="33">
        <v>42000</v>
      </c>
      <c r="I18">
        <v>4</v>
      </c>
      <c r="J18" s="34">
        <v>46077</v>
      </c>
      <c r="K18" t="s">
        <v>236</v>
      </c>
      <c r="L18" s="33">
        <v>600000</v>
      </c>
      <c r="M18">
        <v>9</v>
      </c>
      <c r="N18" s="36">
        <v>9.5</v>
      </c>
      <c r="O18" t="s">
        <v>247</v>
      </c>
      <c r="Q18" t="str">
        <f t="shared" si="0"/>
        <v>karan</v>
      </c>
      <c r="S18" t="str">
        <f t="shared" si="2"/>
        <v>Karan</v>
      </c>
    </row>
    <row r="19" spans="1:22" x14ac:dyDescent="0.3">
      <c r="A19" t="s">
        <v>278</v>
      </c>
      <c r="B19" t="s">
        <v>279</v>
      </c>
      <c r="C19" t="s">
        <v>233</v>
      </c>
      <c r="D19">
        <v>35</v>
      </c>
      <c r="E19" t="s">
        <v>47</v>
      </c>
      <c r="F19" t="s">
        <v>7</v>
      </c>
      <c r="G19" t="s">
        <v>267</v>
      </c>
      <c r="H19" s="33">
        <v>1800</v>
      </c>
      <c r="I19">
        <v>4</v>
      </c>
      <c r="J19" s="34">
        <v>46113</v>
      </c>
      <c r="K19" t="s">
        <v>230</v>
      </c>
      <c r="L19" s="33">
        <v>350000</v>
      </c>
      <c r="M19">
        <v>9</v>
      </c>
      <c r="N19" s="36">
        <v>12</v>
      </c>
      <c r="O19" t="s">
        <v>226</v>
      </c>
      <c r="Q19" t="str">
        <f t="shared" si="0"/>
        <v>meena</v>
      </c>
      <c r="S19" t="str">
        <f t="shared" si="2"/>
        <v>Meena</v>
      </c>
    </row>
    <row r="20" spans="1:22" x14ac:dyDescent="0.3">
      <c r="A20" t="s">
        <v>280</v>
      </c>
      <c r="B20" t="s">
        <v>281</v>
      </c>
      <c r="C20" t="s">
        <v>96</v>
      </c>
      <c r="D20">
        <v>42</v>
      </c>
      <c r="E20" t="s">
        <v>47</v>
      </c>
      <c r="F20" t="s">
        <v>7</v>
      </c>
      <c r="G20" t="s">
        <v>282</v>
      </c>
      <c r="H20" s="33">
        <v>45000</v>
      </c>
      <c r="I20">
        <v>3</v>
      </c>
      <c r="J20" s="34">
        <v>46050</v>
      </c>
      <c r="K20" t="s">
        <v>236</v>
      </c>
      <c r="L20" s="33">
        <v>175000</v>
      </c>
      <c r="M20">
        <v>5</v>
      </c>
      <c r="N20" s="36">
        <v>10.6</v>
      </c>
      <c r="O20" t="s">
        <v>226</v>
      </c>
      <c r="Q20" t="str">
        <f t="shared" si="0"/>
        <v>rajesh</v>
      </c>
      <c r="S20" t="str">
        <f t="shared" si="2"/>
        <v>Rajesh</v>
      </c>
    </row>
    <row r="21" spans="1:22" x14ac:dyDescent="0.3">
      <c r="A21" t="s">
        <v>283</v>
      </c>
      <c r="B21" t="s">
        <v>284</v>
      </c>
      <c r="C21" t="s">
        <v>79</v>
      </c>
      <c r="D21">
        <v>27</v>
      </c>
      <c r="E21" t="s">
        <v>52</v>
      </c>
      <c r="F21" t="s">
        <v>234</v>
      </c>
      <c r="G21" t="s">
        <v>285</v>
      </c>
      <c r="H21" s="33">
        <v>2200</v>
      </c>
      <c r="I21">
        <v>1</v>
      </c>
      <c r="J21" s="34">
        <v>46136</v>
      </c>
      <c r="K21" t="s">
        <v>225</v>
      </c>
      <c r="L21" s="33">
        <v>80000</v>
      </c>
      <c r="M21">
        <v>10</v>
      </c>
      <c r="N21" s="36">
        <v>11.8</v>
      </c>
      <c r="O21" t="s">
        <v>226</v>
      </c>
      <c r="Q21" t="str">
        <f t="shared" si="0"/>
        <v>divya</v>
      </c>
      <c r="S21" t="str">
        <f t="shared" si="2"/>
        <v>Divya</v>
      </c>
    </row>
    <row r="22" spans="1:22" x14ac:dyDescent="0.3">
      <c r="A22" t="s">
        <v>286</v>
      </c>
      <c r="B22" t="s">
        <v>287</v>
      </c>
      <c r="C22" t="s">
        <v>258</v>
      </c>
      <c r="D22">
        <v>46</v>
      </c>
      <c r="E22" t="s">
        <v>47</v>
      </c>
      <c r="F22" t="s">
        <v>228</v>
      </c>
      <c r="G22" t="s">
        <v>288</v>
      </c>
      <c r="H22" s="33">
        <v>1900</v>
      </c>
      <c r="I22">
        <v>4</v>
      </c>
      <c r="J22" s="34">
        <v>46146</v>
      </c>
      <c r="K22" t="s">
        <v>236</v>
      </c>
      <c r="L22" s="33">
        <v>300000</v>
      </c>
      <c r="M22">
        <v>2</v>
      </c>
      <c r="N22" s="36">
        <v>9.1999999999999993</v>
      </c>
      <c r="O22" t="s">
        <v>226</v>
      </c>
      <c r="Q22" t="str">
        <f t="shared" si="0"/>
        <v>nitin</v>
      </c>
      <c r="S22" t="str">
        <f t="shared" si="2"/>
        <v>Nitin</v>
      </c>
    </row>
    <row r="23" spans="1:22" x14ac:dyDescent="0.3">
      <c r="A23" t="s">
        <v>289</v>
      </c>
      <c r="B23" t="s">
        <v>290</v>
      </c>
      <c r="C23" t="s">
        <v>79</v>
      </c>
      <c r="D23">
        <v>30</v>
      </c>
      <c r="E23" t="s">
        <v>52</v>
      </c>
      <c r="F23" t="s">
        <v>14</v>
      </c>
      <c r="G23" t="s">
        <v>272</v>
      </c>
      <c r="H23" s="33">
        <v>35000</v>
      </c>
      <c r="I23">
        <v>5</v>
      </c>
      <c r="J23" s="34">
        <v>46192</v>
      </c>
      <c r="K23" t="s">
        <v>230</v>
      </c>
      <c r="L23" s="33">
        <v>120000</v>
      </c>
      <c r="M23">
        <v>5</v>
      </c>
      <c r="N23" s="36">
        <v>9.6999999999999993</v>
      </c>
      <c r="O23" t="s">
        <v>226</v>
      </c>
      <c r="S23" t="str">
        <f t="shared" si="2"/>
        <v>Ayesha</v>
      </c>
    </row>
    <row r="24" spans="1:22" x14ac:dyDescent="0.3">
      <c r="A24" t="s">
        <v>291</v>
      </c>
      <c r="B24" t="s">
        <v>202</v>
      </c>
      <c r="C24" t="s">
        <v>103</v>
      </c>
      <c r="D24">
        <v>45</v>
      </c>
      <c r="E24" t="s">
        <v>47</v>
      </c>
      <c r="F24" t="s">
        <v>14</v>
      </c>
      <c r="G24" t="s">
        <v>250</v>
      </c>
      <c r="H24" s="33">
        <v>4500</v>
      </c>
      <c r="I24">
        <v>1</v>
      </c>
      <c r="J24" s="34">
        <v>46172</v>
      </c>
      <c r="K24" t="s">
        <v>230</v>
      </c>
      <c r="L24" s="33">
        <v>500000</v>
      </c>
      <c r="M24">
        <v>10</v>
      </c>
      <c r="N24" s="36">
        <v>9.1</v>
      </c>
      <c r="O24" t="s">
        <v>226</v>
      </c>
      <c r="V24" s="36"/>
    </row>
    <row r="25" spans="1:22" x14ac:dyDescent="0.3">
      <c r="A25" t="s">
        <v>292</v>
      </c>
      <c r="B25" t="s">
        <v>192</v>
      </c>
      <c r="C25" t="s">
        <v>185</v>
      </c>
      <c r="D25">
        <v>27</v>
      </c>
      <c r="E25" t="s">
        <v>47</v>
      </c>
      <c r="F25" t="s">
        <v>238</v>
      </c>
      <c r="G25" t="s">
        <v>261</v>
      </c>
      <c r="H25" s="33">
        <v>1200</v>
      </c>
      <c r="I25">
        <v>2</v>
      </c>
      <c r="J25" s="34">
        <v>46126</v>
      </c>
      <c r="K25" t="s">
        <v>225</v>
      </c>
      <c r="L25" s="33">
        <v>600000</v>
      </c>
      <c r="M25">
        <v>5</v>
      </c>
      <c r="N25" s="36">
        <v>10.8</v>
      </c>
      <c r="O25" t="s">
        <v>226</v>
      </c>
      <c r="Q25" s="39" t="s">
        <v>369</v>
      </c>
      <c r="R25" s="39" t="s">
        <v>371</v>
      </c>
      <c r="V25" s="39" t="s">
        <v>399</v>
      </c>
    </row>
    <row r="26" spans="1:22" x14ac:dyDescent="0.3">
      <c r="A26" t="s">
        <v>293</v>
      </c>
      <c r="B26" t="s">
        <v>294</v>
      </c>
      <c r="C26" t="s">
        <v>103</v>
      </c>
      <c r="D26">
        <v>24</v>
      </c>
      <c r="E26" t="s">
        <v>52</v>
      </c>
      <c r="F26" t="s">
        <v>238</v>
      </c>
      <c r="G26" t="s">
        <v>295</v>
      </c>
      <c r="H26" s="33">
        <v>700</v>
      </c>
      <c r="I26">
        <v>5</v>
      </c>
      <c r="J26" s="34">
        <v>46103</v>
      </c>
      <c r="K26" t="s">
        <v>251</v>
      </c>
      <c r="L26" s="33">
        <v>175000</v>
      </c>
      <c r="M26">
        <v>7</v>
      </c>
      <c r="N26" s="36">
        <v>9.5</v>
      </c>
      <c r="O26" t="s">
        <v>247</v>
      </c>
      <c r="Q26" t="str">
        <f>TRIM(B8)</f>
        <v>Vikas sharma</v>
      </c>
      <c r="R26" t="s">
        <v>372</v>
      </c>
      <c r="S26" t="s">
        <v>373</v>
      </c>
      <c r="T26" t="s">
        <v>376</v>
      </c>
      <c r="V26" s="36">
        <f>INT(N20)</f>
        <v>10</v>
      </c>
    </row>
    <row r="27" spans="1:22" x14ac:dyDescent="0.3">
      <c r="A27" t="s">
        <v>296</v>
      </c>
      <c r="B27" t="s">
        <v>297</v>
      </c>
      <c r="C27" t="s">
        <v>245</v>
      </c>
      <c r="D27">
        <v>43</v>
      </c>
      <c r="E27" t="s">
        <v>52</v>
      </c>
      <c r="F27" t="s">
        <v>234</v>
      </c>
      <c r="G27" t="s">
        <v>235</v>
      </c>
      <c r="H27" s="33">
        <v>2900</v>
      </c>
      <c r="I27">
        <v>1</v>
      </c>
      <c r="J27" s="34">
        <v>46025</v>
      </c>
      <c r="K27" t="s">
        <v>230</v>
      </c>
      <c r="L27" s="33">
        <v>600000</v>
      </c>
      <c r="M27">
        <v>3</v>
      </c>
      <c r="N27" s="36">
        <v>8.6</v>
      </c>
      <c r="O27" t="s">
        <v>226</v>
      </c>
      <c r="R27" t="s">
        <v>375</v>
      </c>
      <c r="S27" t="s">
        <v>374</v>
      </c>
      <c r="T27" t="str">
        <f>_xlfn.CONCAT(R27,S27)</f>
        <v>vikassharma</v>
      </c>
      <c r="V27">
        <f>INT(-8.6)</f>
        <v>-9</v>
      </c>
    </row>
    <row r="28" spans="1:22" x14ac:dyDescent="0.3">
      <c r="A28" t="s">
        <v>298</v>
      </c>
      <c r="B28" t="s">
        <v>299</v>
      </c>
      <c r="C28" t="s">
        <v>87</v>
      </c>
      <c r="D28">
        <v>30</v>
      </c>
      <c r="E28" t="s">
        <v>47</v>
      </c>
      <c r="F28" t="s">
        <v>14</v>
      </c>
      <c r="G28" t="s">
        <v>250</v>
      </c>
      <c r="H28" s="33">
        <v>4500</v>
      </c>
      <c r="I28">
        <v>2</v>
      </c>
      <c r="J28" s="34">
        <v>46117</v>
      </c>
      <c r="K28" t="s">
        <v>251</v>
      </c>
      <c r="L28" s="33">
        <v>150000</v>
      </c>
      <c r="M28">
        <v>9</v>
      </c>
      <c r="N28" s="36">
        <v>11.8</v>
      </c>
      <c r="O28" t="s">
        <v>226</v>
      </c>
      <c r="V28">
        <f>INT(-8.3)</f>
        <v>-9</v>
      </c>
    </row>
    <row r="29" spans="1:22" x14ac:dyDescent="0.3">
      <c r="A29" t="s">
        <v>300</v>
      </c>
      <c r="B29" t="s">
        <v>301</v>
      </c>
      <c r="C29" t="s">
        <v>103</v>
      </c>
      <c r="D29">
        <v>47</v>
      </c>
      <c r="E29" t="s">
        <v>47</v>
      </c>
      <c r="F29" t="s">
        <v>238</v>
      </c>
      <c r="G29" t="s">
        <v>239</v>
      </c>
      <c r="H29" s="33">
        <v>1800</v>
      </c>
      <c r="I29">
        <v>1</v>
      </c>
      <c r="J29" s="34">
        <v>46057</v>
      </c>
      <c r="K29" t="s">
        <v>251</v>
      </c>
      <c r="L29" s="33">
        <v>100000</v>
      </c>
      <c r="M29">
        <v>3</v>
      </c>
      <c r="N29" s="36">
        <v>11.5</v>
      </c>
      <c r="O29" t="s">
        <v>226</v>
      </c>
    </row>
    <row r="30" spans="1:22" x14ac:dyDescent="0.3">
      <c r="A30" t="s">
        <v>302</v>
      </c>
      <c r="B30" t="s">
        <v>303</v>
      </c>
      <c r="C30" t="s">
        <v>65</v>
      </c>
      <c r="D30">
        <v>31</v>
      </c>
      <c r="E30" t="s">
        <v>47</v>
      </c>
      <c r="F30" t="s">
        <v>14</v>
      </c>
      <c r="G30" t="s">
        <v>224</v>
      </c>
      <c r="H30" s="33">
        <v>12000</v>
      </c>
      <c r="I30">
        <v>3</v>
      </c>
      <c r="J30" s="34">
        <v>46152</v>
      </c>
      <c r="K30" t="s">
        <v>230</v>
      </c>
      <c r="L30" s="33">
        <v>200000</v>
      </c>
      <c r="M30">
        <v>2</v>
      </c>
      <c r="N30" s="36">
        <v>8.9</v>
      </c>
      <c r="O30" t="s">
        <v>247</v>
      </c>
      <c r="Q30" s="39" t="s">
        <v>385</v>
      </c>
      <c r="R30" s="39" t="s">
        <v>386</v>
      </c>
    </row>
    <row r="31" spans="1:22" x14ac:dyDescent="0.3">
      <c r="A31" t="s">
        <v>304</v>
      </c>
      <c r="B31" t="s">
        <v>305</v>
      </c>
      <c r="C31" t="s">
        <v>185</v>
      </c>
      <c r="D31">
        <v>30</v>
      </c>
      <c r="E31" t="s">
        <v>47</v>
      </c>
      <c r="F31" t="s">
        <v>7</v>
      </c>
      <c r="G31" t="s">
        <v>306</v>
      </c>
      <c r="H31" s="33">
        <v>32000</v>
      </c>
      <c r="I31">
        <v>2</v>
      </c>
      <c r="J31" s="34">
        <v>46186</v>
      </c>
      <c r="K31" t="s">
        <v>251</v>
      </c>
      <c r="L31" s="33">
        <v>150000</v>
      </c>
      <c r="M31">
        <v>9</v>
      </c>
      <c r="N31" s="36">
        <v>10.7</v>
      </c>
      <c r="O31" t="s">
        <v>247</v>
      </c>
      <c r="Q31" t="str">
        <f>MID(Q26,3,2)</f>
        <v>ka</v>
      </c>
      <c r="R31">
        <f>FIND("sh",Q26)</f>
        <v>7</v>
      </c>
    </row>
    <row r="32" spans="1:22" x14ac:dyDescent="0.3">
      <c r="A32" t="s">
        <v>307</v>
      </c>
      <c r="B32" t="s">
        <v>193</v>
      </c>
      <c r="C32" t="s">
        <v>87</v>
      </c>
      <c r="D32">
        <v>22</v>
      </c>
      <c r="E32" t="s">
        <v>47</v>
      </c>
      <c r="F32" t="s">
        <v>7</v>
      </c>
      <c r="G32" t="s">
        <v>308</v>
      </c>
      <c r="H32" s="33">
        <v>22000</v>
      </c>
      <c r="I32">
        <v>5</v>
      </c>
      <c r="J32" s="34">
        <v>46032</v>
      </c>
      <c r="K32" t="s">
        <v>251</v>
      </c>
      <c r="L32" s="33">
        <v>600000</v>
      </c>
      <c r="M32">
        <v>10</v>
      </c>
      <c r="N32" s="36">
        <v>9.1</v>
      </c>
      <c r="O32" t="s">
        <v>226</v>
      </c>
      <c r="Q32" t="str">
        <f>MID(O5,2,4)</f>
        <v>ppro</v>
      </c>
      <c r="R32">
        <f>FIND("ro",O19)</f>
        <v>4</v>
      </c>
    </row>
    <row r="33" spans="1:18" x14ac:dyDescent="0.3">
      <c r="A33" t="s">
        <v>309</v>
      </c>
      <c r="B33" t="s">
        <v>310</v>
      </c>
      <c r="C33" t="s">
        <v>50</v>
      </c>
      <c r="D33">
        <v>31</v>
      </c>
      <c r="E33" t="s">
        <v>52</v>
      </c>
      <c r="F33" t="s">
        <v>7</v>
      </c>
      <c r="G33" t="s">
        <v>306</v>
      </c>
      <c r="H33" s="33">
        <v>32000</v>
      </c>
      <c r="I33">
        <v>2</v>
      </c>
      <c r="J33" s="34">
        <v>46197</v>
      </c>
      <c r="K33" t="s">
        <v>236</v>
      </c>
      <c r="L33" s="33">
        <v>100000</v>
      </c>
      <c r="M33">
        <v>7</v>
      </c>
      <c r="N33" s="36">
        <v>11.6</v>
      </c>
      <c r="O33" t="s">
        <v>247</v>
      </c>
    </row>
    <row r="34" spans="1:18" x14ac:dyDescent="0.3">
      <c r="A34" t="s">
        <v>311</v>
      </c>
      <c r="B34" t="s">
        <v>312</v>
      </c>
      <c r="C34" t="s">
        <v>103</v>
      </c>
      <c r="D34">
        <v>45</v>
      </c>
      <c r="E34" t="s">
        <v>47</v>
      </c>
      <c r="F34" t="s">
        <v>228</v>
      </c>
      <c r="G34" t="s">
        <v>313</v>
      </c>
      <c r="H34" s="33">
        <v>2800</v>
      </c>
      <c r="I34">
        <v>2</v>
      </c>
      <c r="J34" s="34">
        <v>46128</v>
      </c>
      <c r="K34" t="s">
        <v>225</v>
      </c>
      <c r="L34" s="33">
        <v>150000</v>
      </c>
      <c r="M34">
        <v>7</v>
      </c>
      <c r="N34" s="36">
        <v>11.6</v>
      </c>
      <c r="O34" t="s">
        <v>247</v>
      </c>
      <c r="Q34" s="39" t="s">
        <v>392</v>
      </c>
    </row>
    <row r="35" spans="1:18" x14ac:dyDescent="0.3">
      <c r="A35" t="s">
        <v>314</v>
      </c>
      <c r="B35" t="s">
        <v>315</v>
      </c>
      <c r="C35" t="s">
        <v>233</v>
      </c>
      <c r="D35">
        <v>43</v>
      </c>
      <c r="E35" t="s">
        <v>47</v>
      </c>
      <c r="F35" t="s">
        <v>14</v>
      </c>
      <c r="G35" t="s">
        <v>224</v>
      </c>
      <c r="H35" s="33">
        <v>12000</v>
      </c>
      <c r="I35">
        <v>1</v>
      </c>
      <c r="J35" s="34">
        <v>46120</v>
      </c>
      <c r="K35" t="s">
        <v>225</v>
      </c>
      <c r="L35" s="33">
        <v>450000</v>
      </c>
      <c r="M35">
        <v>5</v>
      </c>
      <c r="N35" s="36">
        <v>9.3000000000000007</v>
      </c>
      <c r="O35" t="s">
        <v>247</v>
      </c>
      <c r="Q35" t="s">
        <v>393</v>
      </c>
    </row>
    <row r="36" spans="1:18" x14ac:dyDescent="0.3">
      <c r="A36" t="s">
        <v>316</v>
      </c>
      <c r="B36" t="s">
        <v>317</v>
      </c>
      <c r="C36" t="s">
        <v>83</v>
      </c>
      <c r="D36">
        <v>31</v>
      </c>
      <c r="E36" t="s">
        <v>47</v>
      </c>
      <c r="F36" t="s">
        <v>228</v>
      </c>
      <c r="G36" t="s">
        <v>229</v>
      </c>
      <c r="H36" s="33">
        <v>2500</v>
      </c>
      <c r="I36">
        <v>2</v>
      </c>
      <c r="J36" s="34">
        <v>46125</v>
      </c>
      <c r="K36" t="s">
        <v>251</v>
      </c>
      <c r="L36" s="33">
        <v>200000</v>
      </c>
      <c r="M36">
        <v>3</v>
      </c>
      <c r="N36" s="36">
        <v>12.4</v>
      </c>
      <c r="O36" t="s">
        <v>226</v>
      </c>
      <c r="Q36" t="s">
        <v>398</v>
      </c>
    </row>
    <row r="37" spans="1:18" x14ac:dyDescent="0.3">
      <c r="A37" t="s">
        <v>318</v>
      </c>
      <c r="B37" t="s">
        <v>319</v>
      </c>
      <c r="C37" t="s">
        <v>83</v>
      </c>
      <c r="D37">
        <v>42</v>
      </c>
      <c r="E37" t="s">
        <v>52</v>
      </c>
      <c r="F37" t="s">
        <v>238</v>
      </c>
      <c r="G37" t="s">
        <v>239</v>
      </c>
      <c r="H37" s="33">
        <v>1800</v>
      </c>
      <c r="I37">
        <v>1</v>
      </c>
      <c r="J37" s="34">
        <v>46052</v>
      </c>
      <c r="K37" t="s">
        <v>251</v>
      </c>
      <c r="L37" s="33">
        <v>150000</v>
      </c>
      <c r="M37">
        <v>6</v>
      </c>
      <c r="N37" s="36">
        <v>8.6999999999999993</v>
      </c>
      <c r="O37" t="s">
        <v>247</v>
      </c>
    </row>
    <row r="38" spans="1:18" x14ac:dyDescent="0.3">
      <c r="A38" t="s">
        <v>320</v>
      </c>
      <c r="B38" t="s">
        <v>321</v>
      </c>
      <c r="C38" t="s">
        <v>83</v>
      </c>
      <c r="D38">
        <v>45</v>
      </c>
      <c r="E38" t="s">
        <v>52</v>
      </c>
      <c r="F38" t="s">
        <v>234</v>
      </c>
      <c r="G38" t="s">
        <v>322</v>
      </c>
      <c r="H38" s="33">
        <v>3200</v>
      </c>
      <c r="I38">
        <v>4</v>
      </c>
      <c r="J38" s="34">
        <v>46170</v>
      </c>
      <c r="K38" t="s">
        <v>236</v>
      </c>
      <c r="L38" s="33">
        <v>200000</v>
      </c>
      <c r="M38">
        <v>2</v>
      </c>
      <c r="N38" s="36">
        <v>11.3</v>
      </c>
      <c r="O38" t="s">
        <v>226</v>
      </c>
      <c r="Q38" t="s">
        <v>394</v>
      </c>
    </row>
    <row r="39" spans="1:18" x14ac:dyDescent="0.3">
      <c r="A39" t="s">
        <v>323</v>
      </c>
      <c r="B39" t="s">
        <v>324</v>
      </c>
      <c r="C39" t="s">
        <v>87</v>
      </c>
      <c r="D39">
        <v>51</v>
      </c>
      <c r="E39" t="s">
        <v>47</v>
      </c>
      <c r="F39" t="s">
        <v>14</v>
      </c>
      <c r="G39" t="s">
        <v>272</v>
      </c>
      <c r="H39" s="33">
        <v>35000</v>
      </c>
      <c r="I39">
        <v>1</v>
      </c>
      <c r="J39" s="34">
        <v>46193</v>
      </c>
      <c r="K39" t="s">
        <v>251</v>
      </c>
      <c r="L39" s="33">
        <v>250000</v>
      </c>
      <c r="M39">
        <v>3</v>
      </c>
      <c r="N39" s="36">
        <v>11.4</v>
      </c>
      <c r="O39" t="s">
        <v>226</v>
      </c>
    </row>
    <row r="40" spans="1:18" x14ac:dyDescent="0.3">
      <c r="A40" t="s">
        <v>325</v>
      </c>
      <c r="B40" t="s">
        <v>203</v>
      </c>
      <c r="C40" t="s">
        <v>87</v>
      </c>
      <c r="D40">
        <v>31</v>
      </c>
      <c r="E40" t="s">
        <v>52</v>
      </c>
      <c r="F40" t="s">
        <v>14</v>
      </c>
      <c r="G40" t="s">
        <v>272</v>
      </c>
      <c r="H40" s="33">
        <v>35000</v>
      </c>
      <c r="I40">
        <v>3</v>
      </c>
      <c r="J40" s="34">
        <v>46164</v>
      </c>
      <c r="K40" t="s">
        <v>236</v>
      </c>
      <c r="L40" s="33">
        <v>175000</v>
      </c>
      <c r="M40">
        <v>8</v>
      </c>
      <c r="N40" s="36">
        <v>11.2</v>
      </c>
      <c r="O40" t="s">
        <v>247</v>
      </c>
    </row>
    <row r="41" spans="1:18" x14ac:dyDescent="0.3">
      <c r="A41" t="s">
        <v>326</v>
      </c>
      <c r="B41" t="s">
        <v>327</v>
      </c>
      <c r="C41" t="s">
        <v>96</v>
      </c>
      <c r="D41">
        <v>45</v>
      </c>
      <c r="E41" t="s">
        <v>47</v>
      </c>
      <c r="F41" t="s">
        <v>238</v>
      </c>
      <c r="G41" t="s">
        <v>295</v>
      </c>
      <c r="H41" s="33">
        <v>700</v>
      </c>
      <c r="I41">
        <v>3</v>
      </c>
      <c r="J41" s="34">
        <v>46126</v>
      </c>
      <c r="K41" t="s">
        <v>225</v>
      </c>
      <c r="L41" s="33">
        <v>225000</v>
      </c>
      <c r="M41">
        <v>6</v>
      </c>
      <c r="N41" s="36">
        <v>9.3000000000000007</v>
      </c>
      <c r="O41" t="s">
        <v>226</v>
      </c>
    </row>
    <row r="42" spans="1:18" x14ac:dyDescent="0.3">
      <c r="A42" t="s">
        <v>328</v>
      </c>
      <c r="B42" t="s">
        <v>329</v>
      </c>
      <c r="C42" t="s">
        <v>61</v>
      </c>
      <c r="D42">
        <v>36</v>
      </c>
      <c r="E42" t="s">
        <v>52</v>
      </c>
      <c r="F42" t="s">
        <v>228</v>
      </c>
      <c r="G42" t="s">
        <v>330</v>
      </c>
      <c r="H42" s="33">
        <v>1200</v>
      </c>
      <c r="I42">
        <v>2</v>
      </c>
      <c r="J42" s="34">
        <v>46191</v>
      </c>
      <c r="K42" t="s">
        <v>225</v>
      </c>
      <c r="L42" s="33">
        <v>225000</v>
      </c>
      <c r="M42">
        <v>10</v>
      </c>
      <c r="N42" s="36">
        <v>11.2</v>
      </c>
      <c r="O42" t="s">
        <v>226</v>
      </c>
      <c r="Q42" s="39" t="s">
        <v>395</v>
      </c>
      <c r="R42" s="39" t="s">
        <v>396</v>
      </c>
    </row>
    <row r="43" spans="1:18" x14ac:dyDescent="0.3">
      <c r="A43" t="s">
        <v>331</v>
      </c>
      <c r="B43" t="s">
        <v>332</v>
      </c>
      <c r="C43" t="s">
        <v>55</v>
      </c>
      <c r="D43">
        <v>48</v>
      </c>
      <c r="E43" t="s">
        <v>47</v>
      </c>
      <c r="F43" t="s">
        <v>14</v>
      </c>
      <c r="G43" t="s">
        <v>224</v>
      </c>
      <c r="H43" s="33">
        <v>12000</v>
      </c>
      <c r="I43">
        <v>2</v>
      </c>
      <c r="J43" s="34">
        <v>46060</v>
      </c>
      <c r="K43" t="s">
        <v>225</v>
      </c>
      <c r="L43" s="33">
        <v>80000</v>
      </c>
      <c r="M43">
        <v>5</v>
      </c>
      <c r="N43" s="36">
        <v>12.4</v>
      </c>
      <c r="O43" t="s">
        <v>226</v>
      </c>
      <c r="R43" t="s">
        <v>397</v>
      </c>
    </row>
    <row r="44" spans="1:18" x14ac:dyDescent="0.3">
      <c r="A44" t="s">
        <v>333</v>
      </c>
      <c r="B44" t="s">
        <v>334</v>
      </c>
      <c r="C44" t="s">
        <v>61</v>
      </c>
      <c r="D44">
        <v>35</v>
      </c>
      <c r="E44" t="s">
        <v>47</v>
      </c>
      <c r="F44" t="s">
        <v>234</v>
      </c>
      <c r="G44" t="s">
        <v>255</v>
      </c>
      <c r="H44" s="33">
        <v>850</v>
      </c>
      <c r="I44">
        <v>4</v>
      </c>
      <c r="J44" s="34">
        <v>46085</v>
      </c>
      <c r="K44" t="s">
        <v>236</v>
      </c>
      <c r="L44" s="33">
        <v>70000</v>
      </c>
      <c r="M44">
        <v>3</v>
      </c>
      <c r="N44" s="36">
        <v>11.6</v>
      </c>
      <c r="O44" t="s">
        <v>226</v>
      </c>
      <c r="Q44" s="33"/>
      <c r="R44">
        <f>ABS(-66)</f>
        <v>66</v>
      </c>
    </row>
    <row r="45" spans="1:18" x14ac:dyDescent="0.3">
      <c r="A45" t="s">
        <v>335</v>
      </c>
      <c r="B45" t="s">
        <v>336</v>
      </c>
      <c r="C45" t="s">
        <v>245</v>
      </c>
      <c r="D45">
        <v>47</v>
      </c>
      <c r="E45" t="s">
        <v>52</v>
      </c>
      <c r="F45" t="s">
        <v>7</v>
      </c>
      <c r="G45" t="s">
        <v>269</v>
      </c>
      <c r="H45" s="33">
        <v>6500</v>
      </c>
      <c r="I45">
        <v>2</v>
      </c>
      <c r="J45" s="34">
        <v>46054</v>
      </c>
      <c r="K45" t="s">
        <v>230</v>
      </c>
      <c r="L45" s="33">
        <v>120000</v>
      </c>
      <c r="M45">
        <v>9</v>
      </c>
      <c r="N45" s="36">
        <v>11.2</v>
      </c>
      <c r="O45" t="s">
        <v>226</v>
      </c>
      <c r="Q45" s="43" t="s">
        <v>400</v>
      </c>
    </row>
    <row r="46" spans="1:18" x14ac:dyDescent="0.3">
      <c r="A46" t="s">
        <v>337</v>
      </c>
      <c r="B46" t="s">
        <v>187</v>
      </c>
      <c r="C46" t="s">
        <v>233</v>
      </c>
      <c r="D46">
        <v>50</v>
      </c>
      <c r="E46" t="s">
        <v>52</v>
      </c>
      <c r="F46" t="s">
        <v>238</v>
      </c>
      <c r="G46" t="s">
        <v>295</v>
      </c>
      <c r="H46" s="33">
        <v>700</v>
      </c>
      <c r="I46">
        <v>4</v>
      </c>
      <c r="J46" s="34">
        <v>46163</v>
      </c>
      <c r="K46" t="s">
        <v>230</v>
      </c>
      <c r="L46" s="33">
        <v>150000</v>
      </c>
      <c r="M46">
        <v>9</v>
      </c>
      <c r="N46" s="36">
        <v>10.3</v>
      </c>
      <c r="O46" t="s">
        <v>226</v>
      </c>
      <c r="Q46" s="44">
        <f ca="1">NOW()</f>
        <v>46274.533948495373</v>
      </c>
    </row>
    <row r="47" spans="1:18" x14ac:dyDescent="0.3">
      <c r="A47" t="s">
        <v>338</v>
      </c>
      <c r="B47" t="s">
        <v>339</v>
      </c>
      <c r="C47" t="s">
        <v>185</v>
      </c>
      <c r="D47">
        <v>42</v>
      </c>
      <c r="E47" t="s">
        <v>52</v>
      </c>
      <c r="F47" t="s">
        <v>238</v>
      </c>
      <c r="G47" t="s">
        <v>340</v>
      </c>
      <c r="H47" s="33">
        <v>1600</v>
      </c>
      <c r="I47">
        <v>2</v>
      </c>
      <c r="J47" s="34">
        <v>46093</v>
      </c>
      <c r="K47" t="s">
        <v>230</v>
      </c>
      <c r="L47" s="33">
        <v>90000</v>
      </c>
      <c r="M47">
        <v>6</v>
      </c>
      <c r="N47" s="36">
        <v>9.4</v>
      </c>
      <c r="O47" t="s">
        <v>226</v>
      </c>
    </row>
    <row r="48" spans="1:18" x14ac:dyDescent="0.3">
      <c r="A48" t="s">
        <v>341</v>
      </c>
      <c r="B48" t="s">
        <v>342</v>
      </c>
      <c r="C48" t="s">
        <v>83</v>
      </c>
      <c r="D48">
        <v>50</v>
      </c>
      <c r="E48" t="s">
        <v>47</v>
      </c>
      <c r="F48" t="s">
        <v>228</v>
      </c>
      <c r="G48" t="s">
        <v>313</v>
      </c>
      <c r="H48" s="33">
        <v>2800</v>
      </c>
      <c r="I48">
        <v>2</v>
      </c>
      <c r="J48" s="34">
        <v>46121</v>
      </c>
      <c r="K48" t="s">
        <v>236</v>
      </c>
      <c r="L48" s="33">
        <v>175000</v>
      </c>
      <c r="M48">
        <v>3</v>
      </c>
      <c r="N48" s="36">
        <v>10.199999999999999</v>
      </c>
      <c r="O48" t="s">
        <v>226</v>
      </c>
      <c r="Q48" s="39" t="s">
        <v>401</v>
      </c>
    </row>
    <row r="49" spans="1:21" x14ac:dyDescent="0.3">
      <c r="A49" t="s">
        <v>343</v>
      </c>
      <c r="B49" t="s">
        <v>344</v>
      </c>
      <c r="C49" t="s">
        <v>87</v>
      </c>
      <c r="D49">
        <v>36</v>
      </c>
      <c r="E49" t="s">
        <v>52</v>
      </c>
      <c r="F49" t="s">
        <v>7</v>
      </c>
      <c r="G49" t="s">
        <v>242</v>
      </c>
      <c r="H49" s="33">
        <v>18000</v>
      </c>
      <c r="I49">
        <v>4</v>
      </c>
      <c r="J49" s="34">
        <v>46122</v>
      </c>
      <c r="K49" t="s">
        <v>225</v>
      </c>
      <c r="L49" s="33">
        <v>600000</v>
      </c>
      <c r="M49">
        <v>8</v>
      </c>
      <c r="N49" s="36">
        <v>10.4</v>
      </c>
      <c r="O49" t="s">
        <v>226</v>
      </c>
      <c r="Q49" s="37">
        <f ca="1">TODAY()</f>
        <v>46274</v>
      </c>
    </row>
    <row r="50" spans="1:21" x14ac:dyDescent="0.3">
      <c r="A50" t="s">
        <v>345</v>
      </c>
      <c r="B50" t="s">
        <v>346</v>
      </c>
      <c r="C50" t="s">
        <v>65</v>
      </c>
      <c r="D50">
        <v>46</v>
      </c>
      <c r="E50" t="s">
        <v>52</v>
      </c>
      <c r="F50" t="s">
        <v>234</v>
      </c>
      <c r="G50" t="s">
        <v>285</v>
      </c>
      <c r="H50" s="33">
        <v>2200</v>
      </c>
      <c r="I50">
        <v>4</v>
      </c>
      <c r="J50" s="34">
        <v>46079</v>
      </c>
      <c r="K50" t="s">
        <v>251</v>
      </c>
      <c r="L50" s="33">
        <v>350000</v>
      </c>
      <c r="M50">
        <v>9</v>
      </c>
      <c r="N50" s="36">
        <v>8.6</v>
      </c>
      <c r="O50" t="s">
        <v>226</v>
      </c>
    </row>
    <row r="51" spans="1:21" x14ac:dyDescent="0.3">
      <c r="A51" t="s">
        <v>347</v>
      </c>
      <c r="B51" t="s">
        <v>348</v>
      </c>
      <c r="C51" t="s">
        <v>96</v>
      </c>
      <c r="D51">
        <v>43</v>
      </c>
      <c r="E51" t="s">
        <v>52</v>
      </c>
      <c r="F51" t="s">
        <v>228</v>
      </c>
      <c r="G51" t="s">
        <v>330</v>
      </c>
      <c r="H51" s="33">
        <v>1200</v>
      </c>
      <c r="I51">
        <v>2</v>
      </c>
      <c r="J51" s="34">
        <v>46182</v>
      </c>
      <c r="K51" t="s">
        <v>225</v>
      </c>
      <c r="L51" s="33">
        <v>300000</v>
      </c>
      <c r="M51">
        <v>2</v>
      </c>
      <c r="N51" s="36">
        <v>8.8000000000000007</v>
      </c>
      <c r="O51" t="s">
        <v>247</v>
      </c>
      <c r="R51" s="39" t="s">
        <v>402</v>
      </c>
      <c r="S51" s="39" t="s">
        <v>403</v>
      </c>
      <c r="T51" s="39" t="s">
        <v>404</v>
      </c>
      <c r="U51" s="39"/>
    </row>
    <row r="52" spans="1:21" x14ac:dyDescent="0.3">
      <c r="Q52" s="37">
        <v>46271</v>
      </c>
      <c r="R52">
        <f>MONTH(Q52)</f>
        <v>9</v>
      </c>
      <c r="S52">
        <f>DAY(Q52)</f>
        <v>6</v>
      </c>
      <c r="T52">
        <f>YEAR(Q52)</f>
        <v>2026</v>
      </c>
    </row>
    <row r="53" spans="1:21" x14ac:dyDescent="0.3">
      <c r="Q53" s="34">
        <v>46058</v>
      </c>
      <c r="R53">
        <f t="shared" ref="R53:R78" si="6">MONTH(Q53)</f>
        <v>2</v>
      </c>
      <c r="S53">
        <f t="shared" ref="S53:S78" si="7">DAY(Q53)</f>
        <v>5</v>
      </c>
      <c r="T53">
        <f t="shared" ref="T53:T78" si="8">YEAR(Q53)</f>
        <v>2026</v>
      </c>
    </row>
    <row r="54" spans="1:21" x14ac:dyDescent="0.3">
      <c r="Q54" s="34">
        <v>46073</v>
      </c>
      <c r="R54">
        <f t="shared" si="6"/>
        <v>2</v>
      </c>
      <c r="S54">
        <f t="shared" si="7"/>
        <v>20</v>
      </c>
      <c r="T54">
        <f t="shared" si="8"/>
        <v>2026</v>
      </c>
    </row>
    <row r="55" spans="1:21" x14ac:dyDescent="0.3">
      <c r="Q55" s="34">
        <v>46062</v>
      </c>
      <c r="R55">
        <f t="shared" si="6"/>
        <v>2</v>
      </c>
      <c r="S55">
        <f t="shared" si="7"/>
        <v>9</v>
      </c>
      <c r="T55">
        <f t="shared" si="8"/>
        <v>2026</v>
      </c>
    </row>
    <row r="56" spans="1:21" x14ac:dyDescent="0.3">
      <c r="A56" t="s">
        <v>372</v>
      </c>
      <c r="B56" t="s">
        <v>377</v>
      </c>
      <c r="C56" t="s">
        <v>378</v>
      </c>
      <c r="D56" t="s">
        <v>379</v>
      </c>
      <c r="E56" t="s">
        <v>380</v>
      </c>
      <c r="Q56" s="34">
        <v>46140</v>
      </c>
      <c r="R56">
        <f t="shared" si="6"/>
        <v>4</v>
      </c>
      <c r="S56">
        <f t="shared" si="7"/>
        <v>28</v>
      </c>
      <c r="T56">
        <f t="shared" si="8"/>
        <v>2026</v>
      </c>
    </row>
    <row r="57" spans="1:21" x14ac:dyDescent="0.3">
      <c r="A57" t="s">
        <v>381</v>
      </c>
      <c r="B57" t="s">
        <v>382</v>
      </c>
      <c r="C57">
        <v>110043</v>
      </c>
      <c r="D57" s="40" t="s">
        <v>383</v>
      </c>
      <c r="E57" t="s">
        <v>384</v>
      </c>
      <c r="Q57" s="34">
        <v>46043</v>
      </c>
      <c r="R57">
        <f t="shared" si="6"/>
        <v>1</v>
      </c>
      <c r="S57">
        <f t="shared" si="7"/>
        <v>21</v>
      </c>
      <c r="T57">
        <f t="shared" si="8"/>
        <v>2026</v>
      </c>
    </row>
    <row r="58" spans="1:21" x14ac:dyDescent="0.3">
      <c r="E58" t="str">
        <f>_xlfn.CONCAT(UPPER(A57),RIGHT(B57,2),LEFT(C57,3))</f>
        <v>ASHAHI110</v>
      </c>
      <c r="Q58" s="34">
        <v>46178</v>
      </c>
      <c r="R58">
        <f t="shared" si="6"/>
        <v>6</v>
      </c>
      <c r="S58">
        <f t="shared" si="7"/>
        <v>5</v>
      </c>
      <c r="T58">
        <f t="shared" si="8"/>
        <v>2026</v>
      </c>
    </row>
    <row r="59" spans="1:21" x14ac:dyDescent="0.3">
      <c r="Q59" s="34">
        <v>46031</v>
      </c>
      <c r="R59">
        <f t="shared" si="6"/>
        <v>1</v>
      </c>
      <c r="S59">
        <f t="shared" si="7"/>
        <v>9</v>
      </c>
      <c r="T59">
        <f t="shared" si="8"/>
        <v>2026</v>
      </c>
    </row>
    <row r="60" spans="1:21" x14ac:dyDescent="0.3">
      <c r="A60" t="s">
        <v>379</v>
      </c>
      <c r="Q60" s="34">
        <v>46090</v>
      </c>
      <c r="R60">
        <f t="shared" si="6"/>
        <v>3</v>
      </c>
      <c r="S60">
        <f t="shared" si="7"/>
        <v>9</v>
      </c>
      <c r="T60">
        <f t="shared" si="8"/>
        <v>2026</v>
      </c>
    </row>
    <row r="61" spans="1:21" x14ac:dyDescent="0.3">
      <c r="A61" s="40" t="s">
        <v>387</v>
      </c>
      <c r="C61" t="s">
        <v>389</v>
      </c>
      <c r="D61">
        <f>FIND("@",A61)</f>
        <v>4</v>
      </c>
      <c r="Q61" s="34">
        <v>46153</v>
      </c>
      <c r="R61">
        <f t="shared" si="6"/>
        <v>5</v>
      </c>
      <c r="S61">
        <f t="shared" si="7"/>
        <v>11</v>
      </c>
      <c r="T61">
        <f t="shared" si="8"/>
        <v>2026</v>
      </c>
    </row>
    <row r="62" spans="1:21" x14ac:dyDescent="0.3">
      <c r="A62" s="40" t="s">
        <v>388</v>
      </c>
      <c r="C62" t="s">
        <v>390</v>
      </c>
      <c r="D62">
        <f>FIND(".",A62)</f>
        <v>10</v>
      </c>
      <c r="Q62" s="34">
        <v>46120</v>
      </c>
      <c r="R62">
        <f t="shared" si="6"/>
        <v>4</v>
      </c>
      <c r="S62">
        <f t="shared" si="7"/>
        <v>8</v>
      </c>
      <c r="T62">
        <f t="shared" si="8"/>
        <v>2026</v>
      </c>
    </row>
    <row r="63" spans="1:21" x14ac:dyDescent="0.3">
      <c r="Q63" s="37">
        <v>46051</v>
      </c>
      <c r="R63">
        <f>MONTH(Q63)</f>
        <v>1</v>
      </c>
      <c r="S63">
        <f t="shared" si="7"/>
        <v>29</v>
      </c>
      <c r="T63">
        <f t="shared" si="8"/>
        <v>2026</v>
      </c>
    </row>
    <row r="64" spans="1:21" x14ac:dyDescent="0.3">
      <c r="A64" t="s">
        <v>391</v>
      </c>
      <c r="Q64" s="34">
        <v>46186</v>
      </c>
      <c r="R64">
        <f t="shared" si="6"/>
        <v>6</v>
      </c>
      <c r="S64">
        <f t="shared" si="7"/>
        <v>13</v>
      </c>
      <c r="T64">
        <f t="shared" si="8"/>
        <v>2026</v>
      </c>
    </row>
    <row r="65" spans="17:20" x14ac:dyDescent="0.3">
      <c r="Q65" s="34">
        <v>46101</v>
      </c>
      <c r="R65">
        <f t="shared" si="6"/>
        <v>3</v>
      </c>
      <c r="S65">
        <f t="shared" si="7"/>
        <v>20</v>
      </c>
      <c r="T65">
        <f t="shared" si="8"/>
        <v>2026</v>
      </c>
    </row>
    <row r="66" spans="17:20" x14ac:dyDescent="0.3">
      <c r="Q66" s="34">
        <v>46055</v>
      </c>
      <c r="R66">
        <f t="shared" si="6"/>
        <v>2</v>
      </c>
      <c r="S66">
        <f t="shared" si="7"/>
        <v>2</v>
      </c>
      <c r="T66">
        <f t="shared" si="8"/>
        <v>2026</v>
      </c>
    </row>
    <row r="67" spans="17:20" x14ac:dyDescent="0.3">
      <c r="Q67" s="34">
        <v>46135</v>
      </c>
      <c r="R67">
        <f t="shared" si="6"/>
        <v>4</v>
      </c>
      <c r="S67">
        <f t="shared" si="7"/>
        <v>23</v>
      </c>
      <c r="T67">
        <f t="shared" si="8"/>
        <v>2026</v>
      </c>
    </row>
    <row r="68" spans="17:20" x14ac:dyDescent="0.3">
      <c r="Q68" s="34">
        <v>46041</v>
      </c>
      <c r="R68">
        <f t="shared" si="6"/>
        <v>1</v>
      </c>
      <c r="S68">
        <f t="shared" si="7"/>
        <v>19</v>
      </c>
      <c r="T68">
        <f t="shared" si="8"/>
        <v>2026</v>
      </c>
    </row>
    <row r="69" spans="17:20" x14ac:dyDescent="0.3">
      <c r="Q69" s="34">
        <v>46077</v>
      </c>
      <c r="R69">
        <f t="shared" si="6"/>
        <v>2</v>
      </c>
      <c r="S69">
        <f t="shared" si="7"/>
        <v>24</v>
      </c>
      <c r="T69">
        <f t="shared" si="8"/>
        <v>2026</v>
      </c>
    </row>
    <row r="70" spans="17:20" x14ac:dyDescent="0.3">
      <c r="Q70" s="34">
        <v>46113</v>
      </c>
      <c r="R70">
        <f t="shared" si="6"/>
        <v>4</v>
      </c>
      <c r="S70">
        <f t="shared" si="7"/>
        <v>1</v>
      </c>
      <c r="T70">
        <f t="shared" si="8"/>
        <v>2026</v>
      </c>
    </row>
    <row r="71" spans="17:20" x14ac:dyDescent="0.3">
      <c r="Q71" s="34">
        <v>46050</v>
      </c>
      <c r="R71">
        <f t="shared" si="6"/>
        <v>1</v>
      </c>
      <c r="S71">
        <f t="shared" si="7"/>
        <v>28</v>
      </c>
      <c r="T71">
        <f t="shared" si="8"/>
        <v>2026</v>
      </c>
    </row>
    <row r="72" spans="17:20" x14ac:dyDescent="0.3">
      <c r="Q72" s="34">
        <v>46136</v>
      </c>
      <c r="R72">
        <f t="shared" si="6"/>
        <v>4</v>
      </c>
      <c r="S72">
        <f t="shared" si="7"/>
        <v>24</v>
      </c>
      <c r="T72">
        <f t="shared" si="8"/>
        <v>2026</v>
      </c>
    </row>
    <row r="73" spans="17:20" x14ac:dyDescent="0.3">
      <c r="Q73" s="34">
        <v>46146</v>
      </c>
      <c r="R73">
        <f t="shared" si="6"/>
        <v>5</v>
      </c>
      <c r="S73">
        <f t="shared" si="7"/>
        <v>4</v>
      </c>
      <c r="T73">
        <f t="shared" si="8"/>
        <v>2026</v>
      </c>
    </row>
    <row r="74" spans="17:20" x14ac:dyDescent="0.3">
      <c r="Q74" s="34">
        <v>46192</v>
      </c>
      <c r="R74">
        <f t="shared" si="6"/>
        <v>6</v>
      </c>
      <c r="S74">
        <f t="shared" si="7"/>
        <v>19</v>
      </c>
      <c r="T74">
        <f t="shared" si="8"/>
        <v>2026</v>
      </c>
    </row>
    <row r="75" spans="17:20" x14ac:dyDescent="0.3">
      <c r="Q75" s="34">
        <v>46172</v>
      </c>
      <c r="R75">
        <f t="shared" si="6"/>
        <v>5</v>
      </c>
      <c r="S75">
        <f t="shared" si="7"/>
        <v>30</v>
      </c>
      <c r="T75">
        <f t="shared" si="8"/>
        <v>2026</v>
      </c>
    </row>
    <row r="76" spans="17:20" x14ac:dyDescent="0.3">
      <c r="Q76" s="34">
        <v>46126</v>
      </c>
      <c r="R76">
        <f t="shared" si="6"/>
        <v>4</v>
      </c>
      <c r="S76">
        <f t="shared" si="7"/>
        <v>14</v>
      </c>
      <c r="T76">
        <f t="shared" si="8"/>
        <v>2026</v>
      </c>
    </row>
    <row r="77" spans="17:20" x14ac:dyDescent="0.3">
      <c r="Q77" s="34">
        <v>46103</v>
      </c>
      <c r="R77">
        <f t="shared" si="6"/>
        <v>3</v>
      </c>
      <c r="S77">
        <f t="shared" si="7"/>
        <v>22</v>
      </c>
      <c r="T77">
        <f t="shared" si="8"/>
        <v>2026</v>
      </c>
    </row>
    <row r="78" spans="17:20" x14ac:dyDescent="0.3">
      <c r="Q78" s="34">
        <v>46025</v>
      </c>
      <c r="R78">
        <f t="shared" si="6"/>
        <v>1</v>
      </c>
      <c r="S78">
        <f t="shared" si="7"/>
        <v>3</v>
      </c>
      <c r="T78">
        <f t="shared" si="8"/>
        <v>2026</v>
      </c>
    </row>
    <row r="80" spans="17:20" x14ac:dyDescent="0.3">
      <c r="Q80" t="s">
        <v>405</v>
      </c>
    </row>
    <row r="81" spans="17:18" x14ac:dyDescent="0.3">
      <c r="Q81" s="45">
        <v>45705</v>
      </c>
      <c r="R81" s="45"/>
    </row>
  </sheetData>
  <hyperlinks>
    <hyperlink ref="D57" r:id="rId1" xr:uid="{011A543B-BB4A-4BD3-923E-6AF93ED7EF0D}"/>
    <hyperlink ref="A61" r:id="rId2" xr:uid="{0A1DCD97-ED7E-4145-9967-1F028F7B0211}"/>
    <hyperlink ref="A62" r:id="rId3" xr:uid="{84BF1AB4-B8EF-4F16-B190-E056539B9E1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7B4F9-F6C5-42D8-83B5-D86E83DBD8CD}">
  <dimension ref="A1:R51"/>
  <sheetViews>
    <sheetView workbookViewId="0">
      <selection activeCell="R1" sqref="R1"/>
    </sheetView>
  </sheetViews>
  <sheetFormatPr defaultRowHeight="14.4" x14ac:dyDescent="0.3"/>
  <cols>
    <col min="18" max="18" width="33.21875" bestFit="1" customWidth="1"/>
  </cols>
  <sheetData>
    <row r="1" spans="1:18" x14ac:dyDescent="0.3">
      <c r="A1" s="42" t="s">
        <v>211</v>
      </c>
      <c r="B1" s="35" t="s">
        <v>212</v>
      </c>
      <c r="C1" s="41" t="s">
        <v>43</v>
      </c>
      <c r="D1" s="35" t="s">
        <v>37</v>
      </c>
      <c r="E1" s="35" t="s">
        <v>38</v>
      </c>
      <c r="F1" s="35" t="s">
        <v>213</v>
      </c>
      <c r="G1" s="35" t="s">
        <v>214</v>
      </c>
      <c r="H1" s="35" t="s">
        <v>215</v>
      </c>
      <c r="I1" s="35" t="s">
        <v>216</v>
      </c>
      <c r="J1" s="35" t="s">
        <v>217</v>
      </c>
      <c r="K1" s="35" t="s">
        <v>218</v>
      </c>
      <c r="L1" s="35" t="s">
        <v>219</v>
      </c>
      <c r="M1" s="35" t="s">
        <v>220</v>
      </c>
      <c r="N1" s="35" t="s">
        <v>221</v>
      </c>
      <c r="O1" s="35" t="s">
        <v>222</v>
      </c>
      <c r="R1" s="38"/>
    </row>
    <row r="2" spans="1:18" x14ac:dyDescent="0.3">
      <c r="A2" t="s">
        <v>223</v>
      </c>
      <c r="B2" t="s">
        <v>200</v>
      </c>
      <c r="C2" t="s">
        <v>96</v>
      </c>
      <c r="D2">
        <v>25</v>
      </c>
      <c r="E2" t="s">
        <v>47</v>
      </c>
      <c r="F2" t="s">
        <v>14</v>
      </c>
      <c r="G2" t="s">
        <v>224</v>
      </c>
      <c r="H2" s="33">
        <v>12000</v>
      </c>
      <c r="I2">
        <v>2</v>
      </c>
      <c r="J2" s="34">
        <v>46058</v>
      </c>
      <c r="K2" t="s">
        <v>225</v>
      </c>
      <c r="L2" s="33">
        <v>550000</v>
      </c>
      <c r="M2">
        <v>3</v>
      </c>
      <c r="N2" s="36">
        <v>10.9</v>
      </c>
      <c r="O2" t="s">
        <v>226</v>
      </c>
    </row>
    <row r="3" spans="1:18" x14ac:dyDescent="0.3">
      <c r="A3" t="s">
        <v>227</v>
      </c>
      <c r="B3" t="s">
        <v>196</v>
      </c>
      <c r="C3" t="s">
        <v>50</v>
      </c>
      <c r="D3">
        <v>24</v>
      </c>
      <c r="E3" t="s">
        <v>47</v>
      </c>
      <c r="F3" t="s">
        <v>228</v>
      </c>
      <c r="G3" t="s">
        <v>229</v>
      </c>
      <c r="H3" s="33">
        <v>2500</v>
      </c>
      <c r="I3">
        <v>5</v>
      </c>
      <c r="J3" s="34">
        <v>46073</v>
      </c>
      <c r="K3" t="s">
        <v>230</v>
      </c>
      <c r="L3" s="33">
        <v>180000</v>
      </c>
      <c r="M3">
        <v>9</v>
      </c>
      <c r="N3" s="36">
        <v>10.9</v>
      </c>
      <c r="O3" t="s">
        <v>226</v>
      </c>
    </row>
    <row r="4" spans="1:18" x14ac:dyDescent="0.3">
      <c r="A4" t="s">
        <v>231</v>
      </c>
      <c r="B4" t="s">
        <v>232</v>
      </c>
      <c r="C4" t="s">
        <v>233</v>
      </c>
      <c r="D4">
        <v>47</v>
      </c>
      <c r="E4" t="s">
        <v>47</v>
      </c>
      <c r="F4" t="s">
        <v>234</v>
      </c>
      <c r="G4" t="s">
        <v>235</v>
      </c>
      <c r="H4" s="33">
        <v>2900</v>
      </c>
      <c r="I4">
        <v>3</v>
      </c>
      <c r="J4" s="34">
        <v>46062</v>
      </c>
      <c r="K4" t="s">
        <v>236</v>
      </c>
      <c r="L4" s="33">
        <v>250000</v>
      </c>
      <c r="M4">
        <v>3</v>
      </c>
      <c r="N4" s="36">
        <v>8.9</v>
      </c>
      <c r="O4" t="s">
        <v>226</v>
      </c>
    </row>
    <row r="5" spans="1:18" x14ac:dyDescent="0.3">
      <c r="A5" t="s">
        <v>237</v>
      </c>
      <c r="B5" t="s">
        <v>201</v>
      </c>
      <c r="C5" t="s">
        <v>83</v>
      </c>
      <c r="D5">
        <v>49</v>
      </c>
      <c r="E5" t="s">
        <v>52</v>
      </c>
      <c r="F5" t="s">
        <v>238</v>
      </c>
      <c r="G5" t="s">
        <v>239</v>
      </c>
      <c r="H5" s="33">
        <v>1800</v>
      </c>
      <c r="I5">
        <v>1</v>
      </c>
      <c r="J5" s="34">
        <v>46140</v>
      </c>
      <c r="K5" t="s">
        <v>225</v>
      </c>
      <c r="L5" s="33">
        <v>300000</v>
      </c>
      <c r="M5">
        <v>3</v>
      </c>
      <c r="N5" s="36">
        <v>10.7</v>
      </c>
      <c r="O5" t="s">
        <v>226</v>
      </c>
    </row>
    <row r="6" spans="1:18" x14ac:dyDescent="0.3">
      <c r="A6" t="s">
        <v>240</v>
      </c>
      <c r="B6" t="s">
        <v>241</v>
      </c>
      <c r="C6" t="s">
        <v>103</v>
      </c>
      <c r="D6">
        <v>28</v>
      </c>
      <c r="E6" t="s">
        <v>47</v>
      </c>
      <c r="F6" t="s">
        <v>7</v>
      </c>
      <c r="G6" t="s">
        <v>242</v>
      </c>
      <c r="H6" s="33">
        <v>18000</v>
      </c>
      <c r="I6">
        <v>3</v>
      </c>
      <c r="J6" s="34">
        <v>46043</v>
      </c>
      <c r="K6" t="s">
        <v>236</v>
      </c>
      <c r="L6" s="33">
        <v>100000</v>
      </c>
      <c r="M6">
        <v>8</v>
      </c>
      <c r="N6" s="36">
        <v>9.6</v>
      </c>
      <c r="O6" t="s">
        <v>226</v>
      </c>
    </row>
    <row r="7" spans="1:18" x14ac:dyDescent="0.3">
      <c r="A7" t="s">
        <v>243</v>
      </c>
      <c r="B7" t="s">
        <v>244</v>
      </c>
      <c r="C7" t="s">
        <v>245</v>
      </c>
      <c r="D7">
        <v>33</v>
      </c>
      <c r="E7" t="s">
        <v>52</v>
      </c>
      <c r="F7" t="s">
        <v>228</v>
      </c>
      <c r="G7" t="s">
        <v>246</v>
      </c>
      <c r="H7" s="33">
        <v>4200</v>
      </c>
      <c r="I7">
        <v>1</v>
      </c>
      <c r="J7" s="34">
        <v>46178</v>
      </c>
      <c r="K7" t="s">
        <v>236</v>
      </c>
      <c r="L7" s="33">
        <v>550000</v>
      </c>
      <c r="M7">
        <v>5</v>
      </c>
      <c r="N7" s="36">
        <v>9.1999999999999993</v>
      </c>
      <c r="O7" t="s">
        <v>247</v>
      </c>
    </row>
    <row r="8" spans="1:18" x14ac:dyDescent="0.3">
      <c r="A8" t="s">
        <v>248</v>
      </c>
      <c r="B8" t="s">
        <v>370</v>
      </c>
      <c r="C8" t="s">
        <v>65</v>
      </c>
      <c r="D8">
        <v>51</v>
      </c>
      <c r="E8" t="s">
        <v>47</v>
      </c>
      <c r="F8" t="s">
        <v>14</v>
      </c>
      <c r="G8" t="s">
        <v>250</v>
      </c>
      <c r="H8" s="33">
        <v>4500</v>
      </c>
      <c r="I8">
        <v>2</v>
      </c>
      <c r="J8" s="34">
        <v>46031</v>
      </c>
      <c r="K8" t="s">
        <v>251</v>
      </c>
      <c r="L8" s="33">
        <v>300000</v>
      </c>
      <c r="M8">
        <v>6</v>
      </c>
      <c r="N8" s="36">
        <v>8.8000000000000007</v>
      </c>
      <c r="O8" t="s">
        <v>226</v>
      </c>
    </row>
    <row r="9" spans="1:18" x14ac:dyDescent="0.3">
      <c r="A9" t="s">
        <v>252</v>
      </c>
      <c r="B9" t="s">
        <v>253</v>
      </c>
      <c r="C9" t="s">
        <v>254</v>
      </c>
      <c r="D9">
        <v>42</v>
      </c>
      <c r="E9" t="s">
        <v>52</v>
      </c>
      <c r="F9" t="s">
        <v>234</v>
      </c>
      <c r="G9" t="s">
        <v>255</v>
      </c>
      <c r="H9" s="33">
        <v>850</v>
      </c>
      <c r="I9">
        <v>2</v>
      </c>
      <c r="J9" s="34">
        <v>46090</v>
      </c>
      <c r="K9" t="s">
        <v>236</v>
      </c>
      <c r="L9" s="33">
        <v>180000</v>
      </c>
      <c r="M9">
        <v>10</v>
      </c>
      <c r="N9" s="36">
        <v>10.7</v>
      </c>
      <c r="O9" t="s">
        <v>247</v>
      </c>
    </row>
    <row r="10" spans="1:18" x14ac:dyDescent="0.3">
      <c r="A10" t="s">
        <v>256</v>
      </c>
      <c r="B10" t="s">
        <v>257</v>
      </c>
      <c r="C10" t="s">
        <v>258</v>
      </c>
      <c r="D10">
        <v>40</v>
      </c>
      <c r="E10" t="s">
        <v>52</v>
      </c>
      <c r="F10" t="s">
        <v>14</v>
      </c>
      <c r="G10" t="s">
        <v>224</v>
      </c>
      <c r="H10" s="33">
        <v>12000</v>
      </c>
      <c r="I10">
        <v>2</v>
      </c>
      <c r="J10" s="34">
        <v>46153</v>
      </c>
      <c r="K10" t="s">
        <v>230</v>
      </c>
      <c r="L10" s="33">
        <v>90000</v>
      </c>
      <c r="M10">
        <v>2</v>
      </c>
      <c r="N10" s="36">
        <v>11.9</v>
      </c>
      <c r="O10" t="s">
        <v>226</v>
      </c>
    </row>
    <row r="11" spans="1:18" x14ac:dyDescent="0.3">
      <c r="A11" t="s">
        <v>259</v>
      </c>
      <c r="B11" t="s">
        <v>260</v>
      </c>
      <c r="C11" t="s">
        <v>96</v>
      </c>
      <c r="D11">
        <v>27</v>
      </c>
      <c r="E11" t="s">
        <v>52</v>
      </c>
      <c r="F11" t="s">
        <v>238</v>
      </c>
      <c r="G11" t="s">
        <v>261</v>
      </c>
      <c r="H11" s="33">
        <v>1200</v>
      </c>
      <c r="I11">
        <v>4</v>
      </c>
      <c r="J11" s="34">
        <v>46120</v>
      </c>
      <c r="K11" t="s">
        <v>230</v>
      </c>
      <c r="L11" s="33">
        <v>500000</v>
      </c>
      <c r="M11">
        <v>6</v>
      </c>
      <c r="N11" s="36">
        <v>12.4</v>
      </c>
      <c r="O11" t="s">
        <v>226</v>
      </c>
    </row>
    <row r="12" spans="1:18" x14ac:dyDescent="0.3">
      <c r="A12" t="s">
        <v>262</v>
      </c>
      <c r="B12" t="s">
        <v>181</v>
      </c>
      <c r="C12" t="s">
        <v>96</v>
      </c>
      <c r="D12">
        <v>45</v>
      </c>
      <c r="E12" t="s">
        <v>47</v>
      </c>
      <c r="F12" t="s">
        <v>238</v>
      </c>
      <c r="G12" t="s">
        <v>239</v>
      </c>
      <c r="H12" s="33">
        <v>1800</v>
      </c>
      <c r="I12">
        <v>3</v>
      </c>
      <c r="J12" s="34">
        <v>46051</v>
      </c>
      <c r="K12" t="s">
        <v>251</v>
      </c>
      <c r="L12" s="33">
        <v>350000</v>
      </c>
      <c r="M12">
        <v>4</v>
      </c>
      <c r="N12" s="36">
        <v>10.3</v>
      </c>
      <c r="O12" t="s">
        <v>226</v>
      </c>
    </row>
    <row r="13" spans="1:18" x14ac:dyDescent="0.3">
      <c r="A13" t="s">
        <v>263</v>
      </c>
      <c r="B13" t="s">
        <v>264</v>
      </c>
      <c r="C13" t="s">
        <v>87</v>
      </c>
      <c r="D13">
        <v>46</v>
      </c>
      <c r="E13" t="s">
        <v>47</v>
      </c>
      <c r="F13" t="s">
        <v>238</v>
      </c>
      <c r="G13" t="s">
        <v>261</v>
      </c>
      <c r="H13" s="33">
        <v>1200</v>
      </c>
      <c r="I13">
        <v>3</v>
      </c>
      <c r="J13" s="34">
        <v>46186</v>
      </c>
      <c r="K13" t="s">
        <v>236</v>
      </c>
      <c r="L13" s="33">
        <v>120000</v>
      </c>
      <c r="M13">
        <v>7</v>
      </c>
      <c r="N13" s="36">
        <v>11.6</v>
      </c>
      <c r="O13" t="s">
        <v>226</v>
      </c>
    </row>
    <row r="14" spans="1:18" x14ac:dyDescent="0.3">
      <c r="A14" t="s">
        <v>265</v>
      </c>
      <c r="B14" t="s">
        <v>266</v>
      </c>
      <c r="C14" t="s">
        <v>103</v>
      </c>
      <c r="D14">
        <v>32</v>
      </c>
      <c r="E14" t="s">
        <v>52</v>
      </c>
      <c r="F14" t="s">
        <v>7</v>
      </c>
      <c r="G14" t="s">
        <v>267</v>
      </c>
      <c r="H14" s="33">
        <v>1800</v>
      </c>
      <c r="I14">
        <v>3</v>
      </c>
      <c r="J14" s="34">
        <v>46101</v>
      </c>
      <c r="K14" t="s">
        <v>236</v>
      </c>
      <c r="L14" s="33">
        <v>80000</v>
      </c>
      <c r="M14">
        <v>5</v>
      </c>
      <c r="N14" s="36">
        <v>12</v>
      </c>
      <c r="O14" t="s">
        <v>226</v>
      </c>
    </row>
    <row r="15" spans="1:18" x14ac:dyDescent="0.3">
      <c r="A15" t="s">
        <v>268</v>
      </c>
      <c r="B15" t="s">
        <v>199</v>
      </c>
      <c r="C15" t="s">
        <v>55</v>
      </c>
      <c r="D15">
        <v>45</v>
      </c>
      <c r="E15" t="s">
        <v>52</v>
      </c>
      <c r="F15" t="s">
        <v>7</v>
      </c>
      <c r="G15" t="s">
        <v>269</v>
      </c>
      <c r="H15" s="33">
        <v>6500</v>
      </c>
      <c r="I15">
        <v>2</v>
      </c>
      <c r="J15" s="34">
        <v>46055</v>
      </c>
      <c r="K15" t="s">
        <v>230</v>
      </c>
      <c r="L15" s="33">
        <v>550000</v>
      </c>
      <c r="M15">
        <v>4</v>
      </c>
      <c r="N15" s="36">
        <v>9.6</v>
      </c>
      <c r="O15" t="s">
        <v>247</v>
      </c>
    </row>
    <row r="16" spans="1:18" x14ac:dyDescent="0.3">
      <c r="A16" t="s">
        <v>270</v>
      </c>
      <c r="B16" t="s">
        <v>271</v>
      </c>
      <c r="C16" t="s">
        <v>254</v>
      </c>
      <c r="D16">
        <v>51</v>
      </c>
      <c r="E16" t="s">
        <v>47</v>
      </c>
      <c r="F16" t="s">
        <v>14</v>
      </c>
      <c r="G16" t="s">
        <v>272</v>
      </c>
      <c r="H16" s="33">
        <v>35000</v>
      </c>
      <c r="I16">
        <v>3</v>
      </c>
      <c r="J16" s="34">
        <v>46135</v>
      </c>
      <c r="K16" t="s">
        <v>230</v>
      </c>
      <c r="L16" s="33">
        <v>100000</v>
      </c>
      <c r="M16">
        <v>5</v>
      </c>
      <c r="N16" s="36">
        <v>9.4</v>
      </c>
      <c r="O16" t="s">
        <v>226</v>
      </c>
    </row>
    <row r="17" spans="1:15" x14ac:dyDescent="0.3">
      <c r="A17" t="s">
        <v>273</v>
      </c>
      <c r="B17" t="s">
        <v>197</v>
      </c>
      <c r="C17" t="s">
        <v>50</v>
      </c>
      <c r="D17">
        <v>40</v>
      </c>
      <c r="E17" t="s">
        <v>47</v>
      </c>
      <c r="F17" t="s">
        <v>238</v>
      </c>
      <c r="G17" t="s">
        <v>274</v>
      </c>
      <c r="H17" s="33">
        <v>850</v>
      </c>
      <c r="I17">
        <v>1</v>
      </c>
      <c r="J17" s="34">
        <v>46041</v>
      </c>
      <c r="K17" t="s">
        <v>225</v>
      </c>
      <c r="L17" s="33">
        <v>180000</v>
      </c>
      <c r="M17">
        <v>3</v>
      </c>
      <c r="N17" s="36">
        <v>12.1</v>
      </c>
      <c r="O17" t="s">
        <v>226</v>
      </c>
    </row>
    <row r="18" spans="1:15" x14ac:dyDescent="0.3">
      <c r="A18" t="s">
        <v>275</v>
      </c>
      <c r="B18" t="s">
        <v>276</v>
      </c>
      <c r="C18" t="s">
        <v>55</v>
      </c>
      <c r="D18">
        <v>38</v>
      </c>
      <c r="E18" t="s">
        <v>47</v>
      </c>
      <c r="F18" t="s">
        <v>14</v>
      </c>
      <c r="G18" t="s">
        <v>277</v>
      </c>
      <c r="H18" s="33">
        <v>42000</v>
      </c>
      <c r="I18">
        <v>4</v>
      </c>
      <c r="J18" s="34">
        <v>46077</v>
      </c>
      <c r="K18" t="s">
        <v>236</v>
      </c>
      <c r="L18" s="33">
        <v>600000</v>
      </c>
      <c r="M18">
        <v>9</v>
      </c>
      <c r="N18" s="36">
        <v>9.5</v>
      </c>
      <c r="O18" t="s">
        <v>247</v>
      </c>
    </row>
    <row r="19" spans="1:15" x14ac:dyDescent="0.3">
      <c r="A19" t="s">
        <v>278</v>
      </c>
      <c r="B19" t="s">
        <v>279</v>
      </c>
      <c r="C19" t="s">
        <v>233</v>
      </c>
      <c r="D19">
        <v>35</v>
      </c>
      <c r="E19" t="s">
        <v>47</v>
      </c>
      <c r="F19" t="s">
        <v>7</v>
      </c>
      <c r="G19" t="s">
        <v>267</v>
      </c>
      <c r="H19" s="33">
        <v>1800</v>
      </c>
      <c r="I19">
        <v>4</v>
      </c>
      <c r="J19" s="34">
        <v>46113</v>
      </c>
      <c r="K19" t="s">
        <v>230</v>
      </c>
      <c r="L19" s="33">
        <v>350000</v>
      </c>
      <c r="M19">
        <v>9</v>
      </c>
      <c r="N19" s="36">
        <v>12</v>
      </c>
      <c r="O19" t="s">
        <v>226</v>
      </c>
    </row>
    <row r="20" spans="1:15" x14ac:dyDescent="0.3">
      <c r="A20" t="s">
        <v>280</v>
      </c>
      <c r="B20" t="s">
        <v>281</v>
      </c>
      <c r="C20" t="s">
        <v>96</v>
      </c>
      <c r="D20">
        <v>42</v>
      </c>
      <c r="E20" t="s">
        <v>47</v>
      </c>
      <c r="F20" t="s">
        <v>7</v>
      </c>
      <c r="G20" t="s">
        <v>282</v>
      </c>
      <c r="H20" s="33">
        <v>45000</v>
      </c>
      <c r="I20">
        <v>3</v>
      </c>
      <c r="J20" s="34">
        <v>46050</v>
      </c>
      <c r="K20" t="s">
        <v>236</v>
      </c>
      <c r="L20" s="33">
        <v>175000</v>
      </c>
      <c r="M20">
        <v>5</v>
      </c>
      <c r="N20" s="36">
        <v>10.6</v>
      </c>
      <c r="O20" t="s">
        <v>226</v>
      </c>
    </row>
    <row r="21" spans="1:15" x14ac:dyDescent="0.3">
      <c r="A21" t="s">
        <v>283</v>
      </c>
      <c r="B21" t="s">
        <v>284</v>
      </c>
      <c r="C21" t="s">
        <v>79</v>
      </c>
      <c r="D21">
        <v>27</v>
      </c>
      <c r="E21" t="s">
        <v>52</v>
      </c>
      <c r="F21" t="s">
        <v>234</v>
      </c>
      <c r="G21" t="s">
        <v>285</v>
      </c>
      <c r="H21" s="33">
        <v>2200</v>
      </c>
      <c r="I21">
        <v>1</v>
      </c>
      <c r="J21" s="34">
        <v>46136</v>
      </c>
      <c r="K21" t="s">
        <v>225</v>
      </c>
      <c r="L21" s="33">
        <v>80000</v>
      </c>
      <c r="M21">
        <v>10</v>
      </c>
      <c r="N21" s="36">
        <v>11.8</v>
      </c>
      <c r="O21" t="s">
        <v>226</v>
      </c>
    </row>
    <row r="22" spans="1:15" x14ac:dyDescent="0.3">
      <c r="A22" t="s">
        <v>286</v>
      </c>
      <c r="B22" t="s">
        <v>287</v>
      </c>
      <c r="C22" t="s">
        <v>258</v>
      </c>
      <c r="D22">
        <v>46</v>
      </c>
      <c r="E22" t="s">
        <v>47</v>
      </c>
      <c r="F22" t="s">
        <v>228</v>
      </c>
      <c r="G22" t="s">
        <v>288</v>
      </c>
      <c r="H22" s="33">
        <v>1900</v>
      </c>
      <c r="I22">
        <v>4</v>
      </c>
      <c r="J22" s="34">
        <v>46146</v>
      </c>
      <c r="K22" t="s">
        <v>236</v>
      </c>
      <c r="L22" s="33">
        <v>300000</v>
      </c>
      <c r="M22">
        <v>2</v>
      </c>
      <c r="N22" s="36">
        <v>9.1999999999999993</v>
      </c>
      <c r="O22" t="s">
        <v>226</v>
      </c>
    </row>
    <row r="23" spans="1:15" x14ac:dyDescent="0.3">
      <c r="A23" t="s">
        <v>289</v>
      </c>
      <c r="B23" t="s">
        <v>290</v>
      </c>
      <c r="C23" t="s">
        <v>79</v>
      </c>
      <c r="D23">
        <v>30</v>
      </c>
      <c r="E23" t="s">
        <v>52</v>
      </c>
      <c r="F23" t="s">
        <v>14</v>
      </c>
      <c r="G23" t="s">
        <v>272</v>
      </c>
      <c r="H23" s="33">
        <v>35000</v>
      </c>
      <c r="I23">
        <v>5</v>
      </c>
      <c r="J23" s="34">
        <v>46192</v>
      </c>
      <c r="K23" t="s">
        <v>230</v>
      </c>
      <c r="L23" s="33">
        <v>120000</v>
      </c>
      <c r="M23">
        <v>5</v>
      </c>
      <c r="N23" s="36">
        <v>9.6999999999999993</v>
      </c>
      <c r="O23" t="s">
        <v>226</v>
      </c>
    </row>
    <row r="24" spans="1:15" x14ac:dyDescent="0.3">
      <c r="A24" t="s">
        <v>291</v>
      </c>
      <c r="B24" t="s">
        <v>202</v>
      </c>
      <c r="C24" t="s">
        <v>103</v>
      </c>
      <c r="D24">
        <v>45</v>
      </c>
      <c r="E24" t="s">
        <v>47</v>
      </c>
      <c r="F24" t="s">
        <v>14</v>
      </c>
      <c r="G24" t="s">
        <v>250</v>
      </c>
      <c r="H24" s="33">
        <v>4500</v>
      </c>
      <c r="I24">
        <v>1</v>
      </c>
      <c r="J24" s="34">
        <v>46172</v>
      </c>
      <c r="K24" t="s">
        <v>230</v>
      </c>
      <c r="L24" s="33">
        <v>500000</v>
      </c>
      <c r="M24">
        <v>10</v>
      </c>
      <c r="N24" s="36">
        <v>9.1</v>
      </c>
      <c r="O24" t="s">
        <v>226</v>
      </c>
    </row>
    <row r="25" spans="1:15" x14ac:dyDescent="0.3">
      <c r="A25" t="s">
        <v>292</v>
      </c>
      <c r="B25" t="s">
        <v>192</v>
      </c>
      <c r="C25" t="s">
        <v>185</v>
      </c>
      <c r="D25">
        <v>27</v>
      </c>
      <c r="E25" t="s">
        <v>47</v>
      </c>
      <c r="F25" t="s">
        <v>238</v>
      </c>
      <c r="G25" t="s">
        <v>261</v>
      </c>
      <c r="H25" s="33">
        <v>1200</v>
      </c>
      <c r="I25">
        <v>2</v>
      </c>
      <c r="J25" s="34">
        <v>46126</v>
      </c>
      <c r="K25" t="s">
        <v>225</v>
      </c>
      <c r="L25" s="33">
        <v>600000</v>
      </c>
      <c r="M25">
        <v>5</v>
      </c>
      <c r="N25" s="36">
        <v>10.8</v>
      </c>
      <c r="O25" t="s">
        <v>226</v>
      </c>
    </row>
    <row r="26" spans="1:15" x14ac:dyDescent="0.3">
      <c r="A26" t="s">
        <v>293</v>
      </c>
      <c r="B26" t="s">
        <v>294</v>
      </c>
      <c r="C26" t="s">
        <v>103</v>
      </c>
      <c r="D26">
        <v>24</v>
      </c>
      <c r="E26" t="s">
        <v>52</v>
      </c>
      <c r="F26" t="s">
        <v>238</v>
      </c>
      <c r="G26" t="s">
        <v>295</v>
      </c>
      <c r="H26" s="33">
        <v>700</v>
      </c>
      <c r="I26">
        <v>5</v>
      </c>
      <c r="J26" s="34">
        <v>46103</v>
      </c>
      <c r="K26" t="s">
        <v>251</v>
      </c>
      <c r="L26" s="33">
        <v>175000</v>
      </c>
      <c r="M26">
        <v>7</v>
      </c>
      <c r="N26" s="36">
        <v>9.5</v>
      </c>
      <c r="O26" t="s">
        <v>247</v>
      </c>
    </row>
    <row r="27" spans="1:15" x14ac:dyDescent="0.3">
      <c r="A27" t="s">
        <v>296</v>
      </c>
      <c r="B27" t="s">
        <v>297</v>
      </c>
      <c r="C27" t="s">
        <v>245</v>
      </c>
      <c r="D27">
        <v>43</v>
      </c>
      <c r="E27" t="s">
        <v>52</v>
      </c>
      <c r="F27" t="s">
        <v>234</v>
      </c>
      <c r="G27" t="s">
        <v>235</v>
      </c>
      <c r="H27" s="33">
        <v>2900</v>
      </c>
      <c r="I27">
        <v>1</v>
      </c>
      <c r="J27" s="34">
        <v>46025</v>
      </c>
      <c r="K27" t="s">
        <v>230</v>
      </c>
      <c r="L27" s="33">
        <v>600000</v>
      </c>
      <c r="M27">
        <v>3</v>
      </c>
      <c r="N27" s="36">
        <v>8.6</v>
      </c>
      <c r="O27" t="s">
        <v>226</v>
      </c>
    </row>
    <row r="28" spans="1:15" x14ac:dyDescent="0.3">
      <c r="A28" t="s">
        <v>298</v>
      </c>
      <c r="B28" t="s">
        <v>299</v>
      </c>
      <c r="C28" t="s">
        <v>87</v>
      </c>
      <c r="D28">
        <v>30</v>
      </c>
      <c r="E28" t="s">
        <v>47</v>
      </c>
      <c r="F28" t="s">
        <v>14</v>
      </c>
      <c r="G28" t="s">
        <v>250</v>
      </c>
      <c r="H28" s="33">
        <v>4500</v>
      </c>
      <c r="I28">
        <v>2</v>
      </c>
      <c r="J28" s="34">
        <v>46117</v>
      </c>
      <c r="K28" t="s">
        <v>251</v>
      </c>
      <c r="L28" s="33">
        <v>150000</v>
      </c>
      <c r="M28">
        <v>9</v>
      </c>
      <c r="N28" s="36">
        <v>11.8</v>
      </c>
      <c r="O28" t="s">
        <v>226</v>
      </c>
    </row>
    <row r="29" spans="1:15" x14ac:dyDescent="0.3">
      <c r="A29" t="s">
        <v>300</v>
      </c>
      <c r="B29" t="s">
        <v>301</v>
      </c>
      <c r="C29" t="s">
        <v>103</v>
      </c>
      <c r="D29">
        <v>47</v>
      </c>
      <c r="E29" t="s">
        <v>47</v>
      </c>
      <c r="F29" t="s">
        <v>238</v>
      </c>
      <c r="G29" t="s">
        <v>239</v>
      </c>
      <c r="H29" s="33">
        <v>1800</v>
      </c>
      <c r="I29">
        <v>1</v>
      </c>
      <c r="J29" s="34">
        <v>46057</v>
      </c>
      <c r="K29" t="s">
        <v>251</v>
      </c>
      <c r="L29" s="33">
        <v>100000</v>
      </c>
      <c r="M29">
        <v>3</v>
      </c>
      <c r="N29" s="36">
        <v>11.5</v>
      </c>
      <c r="O29" t="s">
        <v>226</v>
      </c>
    </row>
    <row r="30" spans="1:15" x14ac:dyDescent="0.3">
      <c r="A30" t="s">
        <v>302</v>
      </c>
      <c r="B30" t="s">
        <v>303</v>
      </c>
      <c r="C30" t="s">
        <v>65</v>
      </c>
      <c r="D30">
        <v>31</v>
      </c>
      <c r="E30" t="s">
        <v>47</v>
      </c>
      <c r="F30" t="s">
        <v>14</v>
      </c>
      <c r="G30" t="s">
        <v>224</v>
      </c>
      <c r="H30" s="33">
        <v>12000</v>
      </c>
      <c r="I30">
        <v>3</v>
      </c>
      <c r="J30" s="34">
        <v>46152</v>
      </c>
      <c r="K30" t="s">
        <v>230</v>
      </c>
      <c r="L30" s="33">
        <v>200000</v>
      </c>
      <c r="M30">
        <v>2</v>
      </c>
      <c r="N30" s="36">
        <v>8.9</v>
      </c>
      <c r="O30" t="s">
        <v>247</v>
      </c>
    </row>
    <row r="31" spans="1:15" x14ac:dyDescent="0.3">
      <c r="A31" t="s">
        <v>304</v>
      </c>
      <c r="B31" t="s">
        <v>305</v>
      </c>
      <c r="C31" t="s">
        <v>185</v>
      </c>
      <c r="D31">
        <v>30</v>
      </c>
      <c r="E31" t="s">
        <v>47</v>
      </c>
      <c r="F31" t="s">
        <v>7</v>
      </c>
      <c r="G31" t="s">
        <v>306</v>
      </c>
      <c r="H31" s="33">
        <v>32000</v>
      </c>
      <c r="I31">
        <v>2</v>
      </c>
      <c r="J31" s="34">
        <v>46186</v>
      </c>
      <c r="K31" t="s">
        <v>251</v>
      </c>
      <c r="L31" s="33">
        <v>150000</v>
      </c>
      <c r="M31">
        <v>9</v>
      </c>
      <c r="N31" s="36">
        <v>10.7</v>
      </c>
      <c r="O31" t="s">
        <v>247</v>
      </c>
    </row>
    <row r="32" spans="1:15" x14ac:dyDescent="0.3">
      <c r="A32" t="s">
        <v>307</v>
      </c>
      <c r="B32" t="s">
        <v>193</v>
      </c>
      <c r="C32" t="s">
        <v>87</v>
      </c>
      <c r="D32">
        <v>22</v>
      </c>
      <c r="E32" t="s">
        <v>47</v>
      </c>
      <c r="F32" t="s">
        <v>7</v>
      </c>
      <c r="G32" t="s">
        <v>308</v>
      </c>
      <c r="H32" s="33">
        <v>22000</v>
      </c>
      <c r="I32">
        <v>5</v>
      </c>
      <c r="J32" s="34">
        <v>46032</v>
      </c>
      <c r="K32" t="s">
        <v>251</v>
      </c>
      <c r="L32" s="33">
        <v>600000</v>
      </c>
      <c r="M32">
        <v>10</v>
      </c>
      <c r="N32" s="36">
        <v>9.1</v>
      </c>
      <c r="O32" t="s">
        <v>226</v>
      </c>
    </row>
    <row r="33" spans="1:15" x14ac:dyDescent="0.3">
      <c r="A33" t="s">
        <v>309</v>
      </c>
      <c r="B33" t="s">
        <v>310</v>
      </c>
      <c r="C33" t="s">
        <v>50</v>
      </c>
      <c r="D33">
        <v>31</v>
      </c>
      <c r="E33" t="s">
        <v>52</v>
      </c>
      <c r="F33" t="s">
        <v>7</v>
      </c>
      <c r="G33" t="s">
        <v>306</v>
      </c>
      <c r="H33" s="33">
        <v>32000</v>
      </c>
      <c r="I33">
        <v>2</v>
      </c>
      <c r="J33" s="34">
        <v>46197</v>
      </c>
      <c r="K33" t="s">
        <v>236</v>
      </c>
      <c r="L33" s="33">
        <v>100000</v>
      </c>
      <c r="M33">
        <v>7</v>
      </c>
      <c r="N33" s="36">
        <v>11.6</v>
      </c>
      <c r="O33" t="s">
        <v>247</v>
      </c>
    </row>
    <row r="34" spans="1:15" x14ac:dyDescent="0.3">
      <c r="A34" t="s">
        <v>311</v>
      </c>
      <c r="B34" t="s">
        <v>312</v>
      </c>
      <c r="C34" t="s">
        <v>103</v>
      </c>
      <c r="D34">
        <v>45</v>
      </c>
      <c r="E34" t="s">
        <v>47</v>
      </c>
      <c r="F34" t="s">
        <v>228</v>
      </c>
      <c r="G34" t="s">
        <v>313</v>
      </c>
      <c r="H34" s="33">
        <v>2800</v>
      </c>
      <c r="I34">
        <v>2</v>
      </c>
      <c r="J34" s="34">
        <v>46128</v>
      </c>
      <c r="K34" t="s">
        <v>225</v>
      </c>
      <c r="L34" s="33">
        <v>150000</v>
      </c>
      <c r="M34">
        <v>7</v>
      </c>
      <c r="N34" s="36">
        <v>11.6</v>
      </c>
      <c r="O34" t="s">
        <v>247</v>
      </c>
    </row>
    <row r="35" spans="1:15" x14ac:dyDescent="0.3">
      <c r="A35" t="s">
        <v>314</v>
      </c>
      <c r="B35" t="s">
        <v>315</v>
      </c>
      <c r="C35" t="s">
        <v>233</v>
      </c>
      <c r="D35">
        <v>43</v>
      </c>
      <c r="E35" t="s">
        <v>47</v>
      </c>
      <c r="F35" t="s">
        <v>14</v>
      </c>
      <c r="G35" t="s">
        <v>224</v>
      </c>
      <c r="H35" s="33">
        <v>12000</v>
      </c>
      <c r="I35">
        <v>1</v>
      </c>
      <c r="J35" s="34">
        <v>46120</v>
      </c>
      <c r="K35" t="s">
        <v>225</v>
      </c>
      <c r="L35" s="33">
        <v>450000</v>
      </c>
      <c r="M35">
        <v>5</v>
      </c>
      <c r="N35" s="36">
        <v>9.3000000000000007</v>
      </c>
      <c r="O35" t="s">
        <v>247</v>
      </c>
    </row>
    <row r="36" spans="1:15" x14ac:dyDescent="0.3">
      <c r="A36" t="s">
        <v>316</v>
      </c>
      <c r="B36" t="s">
        <v>317</v>
      </c>
      <c r="C36" t="s">
        <v>83</v>
      </c>
      <c r="D36">
        <v>31</v>
      </c>
      <c r="E36" t="s">
        <v>47</v>
      </c>
      <c r="F36" t="s">
        <v>228</v>
      </c>
      <c r="G36" t="s">
        <v>229</v>
      </c>
      <c r="H36" s="33">
        <v>2500</v>
      </c>
      <c r="I36">
        <v>2</v>
      </c>
      <c r="J36" s="34">
        <v>46125</v>
      </c>
      <c r="K36" t="s">
        <v>251</v>
      </c>
      <c r="L36" s="33">
        <v>200000</v>
      </c>
      <c r="M36">
        <v>3</v>
      </c>
      <c r="N36" s="36">
        <v>12.4</v>
      </c>
      <c r="O36" t="s">
        <v>226</v>
      </c>
    </row>
    <row r="37" spans="1:15" x14ac:dyDescent="0.3">
      <c r="A37" t="s">
        <v>318</v>
      </c>
      <c r="B37" t="s">
        <v>319</v>
      </c>
      <c r="C37" t="s">
        <v>83</v>
      </c>
      <c r="D37">
        <v>42</v>
      </c>
      <c r="E37" t="s">
        <v>52</v>
      </c>
      <c r="F37" t="s">
        <v>238</v>
      </c>
      <c r="G37" t="s">
        <v>239</v>
      </c>
      <c r="H37" s="33">
        <v>1800</v>
      </c>
      <c r="I37">
        <v>1</v>
      </c>
      <c r="J37" s="34">
        <v>46052</v>
      </c>
      <c r="K37" t="s">
        <v>251</v>
      </c>
      <c r="L37" s="33">
        <v>150000</v>
      </c>
      <c r="M37">
        <v>6</v>
      </c>
      <c r="N37" s="36">
        <v>8.6999999999999993</v>
      </c>
      <c r="O37" t="s">
        <v>247</v>
      </c>
    </row>
    <row r="38" spans="1:15" x14ac:dyDescent="0.3">
      <c r="A38" t="s">
        <v>320</v>
      </c>
      <c r="B38" t="s">
        <v>321</v>
      </c>
      <c r="C38" t="s">
        <v>83</v>
      </c>
      <c r="D38">
        <v>45</v>
      </c>
      <c r="E38" t="s">
        <v>52</v>
      </c>
      <c r="F38" t="s">
        <v>234</v>
      </c>
      <c r="G38" t="s">
        <v>322</v>
      </c>
      <c r="H38" s="33">
        <v>3200</v>
      </c>
      <c r="I38">
        <v>4</v>
      </c>
      <c r="J38" s="34">
        <v>46170</v>
      </c>
      <c r="K38" t="s">
        <v>236</v>
      </c>
      <c r="L38" s="33">
        <v>200000</v>
      </c>
      <c r="M38">
        <v>2</v>
      </c>
      <c r="N38" s="36">
        <v>11.3</v>
      </c>
      <c r="O38" t="s">
        <v>226</v>
      </c>
    </row>
    <row r="39" spans="1:15" x14ac:dyDescent="0.3">
      <c r="A39" t="s">
        <v>323</v>
      </c>
      <c r="B39" t="s">
        <v>324</v>
      </c>
      <c r="C39" t="s">
        <v>87</v>
      </c>
      <c r="D39">
        <v>51</v>
      </c>
      <c r="E39" t="s">
        <v>47</v>
      </c>
      <c r="F39" t="s">
        <v>14</v>
      </c>
      <c r="G39" t="s">
        <v>272</v>
      </c>
      <c r="H39" s="33">
        <v>35000</v>
      </c>
      <c r="I39">
        <v>1</v>
      </c>
      <c r="J39" s="34">
        <v>46193</v>
      </c>
      <c r="K39" t="s">
        <v>251</v>
      </c>
      <c r="L39" s="33">
        <v>250000</v>
      </c>
      <c r="M39">
        <v>3</v>
      </c>
      <c r="N39" s="36">
        <v>11.4</v>
      </c>
      <c r="O39" t="s">
        <v>226</v>
      </c>
    </row>
    <row r="40" spans="1:15" x14ac:dyDescent="0.3">
      <c r="A40" t="s">
        <v>325</v>
      </c>
      <c r="B40" t="s">
        <v>203</v>
      </c>
      <c r="C40" t="s">
        <v>87</v>
      </c>
      <c r="D40">
        <v>31</v>
      </c>
      <c r="E40" t="s">
        <v>52</v>
      </c>
      <c r="F40" t="s">
        <v>14</v>
      </c>
      <c r="G40" t="s">
        <v>272</v>
      </c>
      <c r="H40" s="33">
        <v>35000</v>
      </c>
      <c r="I40">
        <v>3</v>
      </c>
      <c r="J40" s="34">
        <v>46164</v>
      </c>
      <c r="K40" t="s">
        <v>236</v>
      </c>
      <c r="L40" s="33">
        <v>175000</v>
      </c>
      <c r="M40">
        <v>8</v>
      </c>
      <c r="N40" s="36">
        <v>11.2</v>
      </c>
      <c r="O40" t="s">
        <v>247</v>
      </c>
    </row>
    <row r="41" spans="1:15" x14ac:dyDescent="0.3">
      <c r="A41" t="s">
        <v>326</v>
      </c>
      <c r="B41" t="s">
        <v>327</v>
      </c>
      <c r="C41" t="s">
        <v>96</v>
      </c>
      <c r="D41">
        <v>45</v>
      </c>
      <c r="E41" t="s">
        <v>47</v>
      </c>
      <c r="F41" t="s">
        <v>238</v>
      </c>
      <c r="G41" t="s">
        <v>295</v>
      </c>
      <c r="H41" s="33">
        <v>700</v>
      </c>
      <c r="I41">
        <v>3</v>
      </c>
      <c r="J41" s="34">
        <v>46126</v>
      </c>
      <c r="K41" t="s">
        <v>225</v>
      </c>
      <c r="L41" s="33">
        <v>225000</v>
      </c>
      <c r="M41">
        <v>6</v>
      </c>
      <c r="N41" s="36">
        <v>9.3000000000000007</v>
      </c>
      <c r="O41" t="s">
        <v>226</v>
      </c>
    </row>
    <row r="42" spans="1:15" x14ac:dyDescent="0.3">
      <c r="A42" t="s">
        <v>328</v>
      </c>
      <c r="B42" t="s">
        <v>329</v>
      </c>
      <c r="C42" t="s">
        <v>61</v>
      </c>
      <c r="D42">
        <v>36</v>
      </c>
      <c r="E42" t="s">
        <v>52</v>
      </c>
      <c r="F42" t="s">
        <v>228</v>
      </c>
      <c r="G42" t="s">
        <v>330</v>
      </c>
      <c r="H42" s="33">
        <v>1200</v>
      </c>
      <c r="I42">
        <v>2</v>
      </c>
      <c r="J42" s="34">
        <v>46191</v>
      </c>
      <c r="K42" t="s">
        <v>225</v>
      </c>
      <c r="L42" s="33">
        <v>225000</v>
      </c>
      <c r="M42">
        <v>10</v>
      </c>
      <c r="N42" s="36">
        <v>11.2</v>
      </c>
      <c r="O42" t="s">
        <v>226</v>
      </c>
    </row>
    <row r="43" spans="1:15" x14ac:dyDescent="0.3">
      <c r="A43" t="s">
        <v>331</v>
      </c>
      <c r="B43" t="s">
        <v>332</v>
      </c>
      <c r="C43" t="s">
        <v>55</v>
      </c>
      <c r="D43">
        <v>48</v>
      </c>
      <c r="E43" t="s">
        <v>47</v>
      </c>
      <c r="F43" t="s">
        <v>14</v>
      </c>
      <c r="G43" t="s">
        <v>224</v>
      </c>
      <c r="H43" s="33">
        <v>12000</v>
      </c>
      <c r="I43">
        <v>2</v>
      </c>
      <c r="J43" s="34">
        <v>46060</v>
      </c>
      <c r="K43" t="s">
        <v>225</v>
      </c>
      <c r="L43" s="33">
        <v>80000</v>
      </c>
      <c r="M43">
        <v>5</v>
      </c>
      <c r="N43" s="36">
        <v>12.4</v>
      </c>
      <c r="O43" t="s">
        <v>226</v>
      </c>
    </row>
    <row r="44" spans="1:15" x14ac:dyDescent="0.3">
      <c r="A44" t="s">
        <v>333</v>
      </c>
      <c r="B44" t="s">
        <v>334</v>
      </c>
      <c r="C44" t="s">
        <v>61</v>
      </c>
      <c r="D44">
        <v>35</v>
      </c>
      <c r="E44" t="s">
        <v>47</v>
      </c>
      <c r="F44" t="s">
        <v>234</v>
      </c>
      <c r="G44" t="s">
        <v>255</v>
      </c>
      <c r="H44" s="33">
        <v>850</v>
      </c>
      <c r="I44">
        <v>4</v>
      </c>
      <c r="J44" s="34">
        <v>46085</v>
      </c>
      <c r="K44" t="s">
        <v>236</v>
      </c>
      <c r="L44" s="33">
        <v>70000</v>
      </c>
      <c r="M44">
        <v>3</v>
      </c>
      <c r="N44" s="36">
        <v>11.6</v>
      </c>
      <c r="O44" t="s">
        <v>226</v>
      </c>
    </row>
    <row r="45" spans="1:15" x14ac:dyDescent="0.3">
      <c r="A45" t="s">
        <v>335</v>
      </c>
      <c r="B45" t="s">
        <v>336</v>
      </c>
      <c r="C45" t="s">
        <v>245</v>
      </c>
      <c r="D45">
        <v>47</v>
      </c>
      <c r="E45" t="s">
        <v>52</v>
      </c>
      <c r="F45" t="s">
        <v>7</v>
      </c>
      <c r="G45" t="s">
        <v>269</v>
      </c>
      <c r="H45" s="33">
        <v>6500</v>
      </c>
      <c r="I45">
        <v>2</v>
      </c>
      <c r="J45" s="34">
        <v>46054</v>
      </c>
      <c r="K45" t="s">
        <v>230</v>
      </c>
      <c r="L45" s="33">
        <v>120000</v>
      </c>
      <c r="M45">
        <v>9</v>
      </c>
      <c r="N45" s="36">
        <v>11.2</v>
      </c>
      <c r="O45" t="s">
        <v>226</v>
      </c>
    </row>
    <row r="46" spans="1:15" x14ac:dyDescent="0.3">
      <c r="A46" t="s">
        <v>337</v>
      </c>
      <c r="B46" t="s">
        <v>187</v>
      </c>
      <c r="C46" t="s">
        <v>233</v>
      </c>
      <c r="D46">
        <v>50</v>
      </c>
      <c r="E46" t="s">
        <v>52</v>
      </c>
      <c r="F46" t="s">
        <v>238</v>
      </c>
      <c r="G46" t="s">
        <v>295</v>
      </c>
      <c r="H46" s="33">
        <v>700</v>
      </c>
      <c r="I46">
        <v>4</v>
      </c>
      <c r="J46" s="34">
        <v>46163</v>
      </c>
      <c r="K46" t="s">
        <v>230</v>
      </c>
      <c r="L46" s="33">
        <v>150000</v>
      </c>
      <c r="M46">
        <v>9</v>
      </c>
      <c r="N46" s="36">
        <v>10.3</v>
      </c>
      <c r="O46" t="s">
        <v>226</v>
      </c>
    </row>
    <row r="47" spans="1:15" x14ac:dyDescent="0.3">
      <c r="A47" t="s">
        <v>338</v>
      </c>
      <c r="B47" t="s">
        <v>339</v>
      </c>
      <c r="C47" t="s">
        <v>185</v>
      </c>
      <c r="D47">
        <v>42</v>
      </c>
      <c r="E47" t="s">
        <v>52</v>
      </c>
      <c r="F47" t="s">
        <v>238</v>
      </c>
      <c r="G47" t="s">
        <v>340</v>
      </c>
      <c r="H47" s="33">
        <v>1600</v>
      </c>
      <c r="I47">
        <v>2</v>
      </c>
      <c r="J47" s="34">
        <v>46093</v>
      </c>
      <c r="K47" t="s">
        <v>230</v>
      </c>
      <c r="L47" s="33">
        <v>90000</v>
      </c>
      <c r="M47">
        <v>6</v>
      </c>
      <c r="N47" s="36">
        <v>9.4</v>
      </c>
      <c r="O47" t="s">
        <v>226</v>
      </c>
    </row>
    <row r="48" spans="1:15" x14ac:dyDescent="0.3">
      <c r="A48" t="s">
        <v>341</v>
      </c>
      <c r="B48" t="s">
        <v>342</v>
      </c>
      <c r="C48" t="s">
        <v>83</v>
      </c>
      <c r="D48">
        <v>50</v>
      </c>
      <c r="E48" t="s">
        <v>47</v>
      </c>
      <c r="F48" t="s">
        <v>228</v>
      </c>
      <c r="G48" t="s">
        <v>313</v>
      </c>
      <c r="H48" s="33">
        <v>2800</v>
      </c>
      <c r="I48">
        <v>2</v>
      </c>
      <c r="J48" s="34">
        <v>46121</v>
      </c>
      <c r="K48" t="s">
        <v>236</v>
      </c>
      <c r="L48" s="33">
        <v>175000</v>
      </c>
      <c r="M48">
        <v>3</v>
      </c>
      <c r="N48" s="36">
        <v>10.199999999999999</v>
      </c>
      <c r="O48" t="s">
        <v>226</v>
      </c>
    </row>
    <row r="49" spans="1:15" x14ac:dyDescent="0.3">
      <c r="A49" t="s">
        <v>343</v>
      </c>
      <c r="B49" t="s">
        <v>344</v>
      </c>
      <c r="C49" t="s">
        <v>87</v>
      </c>
      <c r="D49">
        <v>36</v>
      </c>
      <c r="E49" t="s">
        <v>52</v>
      </c>
      <c r="F49" t="s">
        <v>7</v>
      </c>
      <c r="G49" t="s">
        <v>242</v>
      </c>
      <c r="H49" s="33">
        <v>18000</v>
      </c>
      <c r="I49">
        <v>4</v>
      </c>
      <c r="J49" s="34">
        <v>46122</v>
      </c>
      <c r="K49" t="s">
        <v>225</v>
      </c>
      <c r="L49" s="33">
        <v>600000</v>
      </c>
      <c r="M49">
        <v>8</v>
      </c>
      <c r="N49" s="36">
        <v>10.4</v>
      </c>
      <c r="O49" t="s">
        <v>226</v>
      </c>
    </row>
    <row r="50" spans="1:15" x14ac:dyDescent="0.3">
      <c r="A50" t="s">
        <v>345</v>
      </c>
      <c r="B50" t="s">
        <v>346</v>
      </c>
      <c r="C50" t="s">
        <v>65</v>
      </c>
      <c r="D50">
        <v>46</v>
      </c>
      <c r="E50" t="s">
        <v>52</v>
      </c>
      <c r="F50" t="s">
        <v>234</v>
      </c>
      <c r="G50" t="s">
        <v>285</v>
      </c>
      <c r="H50" s="33">
        <v>2200</v>
      </c>
      <c r="I50">
        <v>4</v>
      </c>
      <c r="J50" s="34">
        <v>46079</v>
      </c>
      <c r="K50" t="s">
        <v>251</v>
      </c>
      <c r="L50" s="33">
        <v>350000</v>
      </c>
      <c r="M50">
        <v>9</v>
      </c>
      <c r="N50" s="36">
        <v>8.6</v>
      </c>
      <c r="O50" t="s">
        <v>226</v>
      </c>
    </row>
    <row r="51" spans="1:15" x14ac:dyDescent="0.3">
      <c r="A51" t="s">
        <v>347</v>
      </c>
      <c r="B51" t="s">
        <v>348</v>
      </c>
      <c r="C51" t="s">
        <v>96</v>
      </c>
      <c r="D51">
        <v>43</v>
      </c>
      <c r="E51" t="s">
        <v>52</v>
      </c>
      <c r="F51" t="s">
        <v>228</v>
      </c>
      <c r="G51" t="s">
        <v>330</v>
      </c>
      <c r="H51" s="33">
        <v>1200</v>
      </c>
      <c r="I51">
        <v>2</v>
      </c>
      <c r="J51" s="34">
        <v>46182</v>
      </c>
      <c r="K51" t="s">
        <v>225</v>
      </c>
      <c r="L51" s="33">
        <v>300000</v>
      </c>
      <c r="M51">
        <v>2</v>
      </c>
      <c r="N51" s="36">
        <v>8.8000000000000007</v>
      </c>
      <c r="O51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vlookup=,xlookup</vt:lpstr>
      <vt:lpstr>Sheet2</vt:lpstr>
      <vt:lpstr>vlookup,xlookup</vt:lpstr>
      <vt:lpstr>match,index</vt:lpstr>
      <vt:lpstr>Sheet5</vt:lpstr>
      <vt:lpstr>hlookup</vt:lpstr>
      <vt:lpstr>Sheet1</vt:lpstr>
      <vt:lpstr>Sheet3</vt:lpstr>
      <vt:lpstr>Sheet4</vt:lpstr>
      <vt:lpstr>lower,upper,proper,left, right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MUSTANSIR HUSSAIN</dc:creator>
  <cp:lastModifiedBy>MUSTANSIR HUSSAIN</cp:lastModifiedBy>
  <dcterms:created xsi:type="dcterms:W3CDTF">2026-09-05T11:23:41Z</dcterms:created>
  <dcterms:modified xsi:type="dcterms:W3CDTF">2026-09-09T07:19:04Z</dcterms:modified>
</cp:coreProperties>
</file>