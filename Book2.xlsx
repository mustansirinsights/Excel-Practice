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219a29b549852/Documents/"/>
    </mc:Choice>
  </mc:AlternateContent>
  <xr:revisionPtr revIDLastSave="232" documentId="8_{13BB0451-8FE1-49D8-ABB0-152577569EF0}" xr6:coauthVersionLast="47" xr6:coauthVersionMax="47" xr10:uidLastSave="{63AA8AD3-2069-4512-A0A0-B92A40BAD4EB}"/>
  <bookViews>
    <workbookView xWindow="-108" yWindow="-108" windowWidth="23256" windowHeight="13896" xr2:uid="{C1418787-AA37-4C8F-BB47-B8BF888038BB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F3" i="1"/>
  <c r="C3" i="4" a="1"/>
  <c r="C3" i="4" s="1"/>
  <c r="C4" i="4" a="1"/>
  <c r="C4" i="4" s="1"/>
  <c r="C5" i="4" a="1"/>
  <c r="C5" i="4"/>
  <c r="C6" i="4" a="1"/>
  <c r="C6" i="4"/>
  <c r="C7" i="4" a="1"/>
  <c r="C7" i="4" s="1"/>
  <c r="C8" i="4" a="1"/>
  <c r="C8" i="4" s="1"/>
  <c r="C9" i="4" a="1"/>
  <c r="C9" i="4" s="1"/>
  <c r="C2" i="4" a="1"/>
  <c r="C2" i="4" s="1"/>
  <c r="D3" i="3" a="1"/>
  <c r="D3" i="3" s="1"/>
  <c r="D4" i="3" a="1"/>
  <c r="D4" i="3" s="1"/>
  <c r="D5" i="3" a="1"/>
  <c r="D5" i="3" s="1"/>
  <c r="D6" i="3" a="1"/>
  <c r="D6" i="3" s="1"/>
  <c r="D7" i="3" a="1"/>
  <c r="D7" i="3" s="1"/>
  <c r="D2" i="3" a="1"/>
  <c r="D2" i="3"/>
  <c r="N4" i="1"/>
  <c r="N5" i="1"/>
  <c r="N6" i="1"/>
  <c r="N2" i="1"/>
  <c r="M5" i="1"/>
  <c r="M2" i="1"/>
  <c r="L3" i="1"/>
  <c r="L4" i="1"/>
  <c r="L5" i="1"/>
  <c r="L6" i="1"/>
  <c r="K2" i="1"/>
  <c r="K3" i="1"/>
  <c r="N3" i="1" s="1"/>
  <c r="K4" i="1"/>
  <c r="K5" i="1"/>
  <c r="K6" i="1"/>
  <c r="J5" i="1"/>
  <c r="I3" i="1"/>
  <c r="J3" i="1" s="1"/>
  <c r="I5" i="1"/>
  <c r="H3" i="1"/>
  <c r="H4" i="1"/>
  <c r="H5" i="1"/>
  <c r="H6" i="1"/>
  <c r="H2" i="1"/>
  <c r="G3" i="1"/>
  <c r="G4" i="1"/>
  <c r="G5" i="1"/>
  <c r="G6" i="1"/>
  <c r="G2" i="1"/>
  <c r="F4" i="1"/>
  <c r="I4" i="1" s="1"/>
  <c r="J4" i="1" s="1"/>
  <c r="F5" i="1"/>
  <c r="F6" i="1"/>
  <c r="I6" i="1" s="1"/>
  <c r="J6" i="1" s="1"/>
  <c r="F2" i="1"/>
  <c r="I2" i="1" s="1"/>
  <c r="J2" i="1" s="1"/>
  <c r="F3" i="2"/>
  <c r="F4" i="2"/>
  <c r="F5" i="2"/>
  <c r="F6" i="2"/>
  <c r="F2" i="2"/>
  <c r="E3" i="2"/>
  <c r="E4" i="2"/>
  <c r="E5" i="2"/>
  <c r="E6" i="2"/>
  <c r="E2" i="2"/>
  <c r="G17" i="1"/>
  <c r="G18" i="1"/>
  <c r="G19" i="1"/>
  <c r="G20" i="1"/>
  <c r="G16" i="1"/>
  <c r="F17" i="1"/>
  <c r="F18" i="1"/>
  <c r="F19" i="1"/>
  <c r="F20" i="1"/>
  <c r="F16" i="1"/>
  <c r="G10" i="1"/>
  <c r="G11" i="1"/>
  <c r="G12" i="1"/>
  <c r="G9" i="1"/>
  <c r="M3" i="1" l="1"/>
  <c r="M6" i="1"/>
  <c r="M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<sst xmlns="http://schemas.openxmlformats.org/spreadsheetml/2006/main" count="76" uniqueCount="58">
  <si>
    <t>Name of Student</t>
  </si>
  <si>
    <t>Sub1</t>
  </si>
  <si>
    <t>Sub2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</si>
  <si>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</si>
  <si>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</si>
  <si>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</si>
  <si>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</si>
  <si>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</si>
  <si>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</si>
  <si>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</si>
  <si>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</si>
  <si>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</si>
  <si>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%age</t>
  </si>
  <si>
    <t>Result</t>
  </si>
  <si>
    <t>age</t>
  </si>
  <si>
    <t>by and</t>
  </si>
  <si>
    <t>by or</t>
  </si>
  <si>
    <t>Sr no.</t>
  </si>
  <si>
    <t xml:space="preserve">emp </t>
  </si>
  <si>
    <t>days/130</t>
  </si>
  <si>
    <t>days&gt;=130</t>
  </si>
  <si>
    <t>per&gt;=5</t>
  </si>
  <si>
    <t>performance/5</t>
  </si>
  <si>
    <t>and</t>
  </si>
  <si>
    <t>or</t>
  </si>
  <si>
    <t>promotion:yes/no (and)</t>
  </si>
  <si>
    <t>promotion:yes/no (or)</t>
  </si>
  <si>
    <t>grade</t>
  </si>
  <si>
    <t>90 A++</t>
  </si>
  <si>
    <t>75A+</t>
  </si>
  <si>
    <t>60A</t>
  </si>
  <si>
    <t>45b</t>
  </si>
  <si>
    <t>35C</t>
  </si>
  <si>
    <t>result by and</t>
  </si>
  <si>
    <t>result by or</t>
  </si>
  <si>
    <t>Grade</t>
  </si>
  <si>
    <t>and result because it is compulsory to pass in every subject rather than one</t>
  </si>
  <si>
    <t>SR NO</t>
  </si>
  <si>
    <t>Customer</t>
  </si>
  <si>
    <t>Quantity order</t>
  </si>
  <si>
    <t>discount%</t>
  </si>
  <si>
    <t>ANIL</t>
  </si>
  <si>
    <t>VIKAS</t>
  </si>
  <si>
    <t>SACHIN</t>
  </si>
  <si>
    <t>VIJAY</t>
  </si>
  <si>
    <t>VIRAT</t>
  </si>
  <si>
    <t>SNEHIL</t>
  </si>
  <si>
    <t>CONDITIONS</t>
  </si>
  <si>
    <t>greater than equal to 10</t>
  </si>
  <si>
    <t xml:space="preserve">greater than equal to 5 </t>
  </si>
  <si>
    <t>less than 5</t>
  </si>
  <si>
    <t>RATING</t>
  </si>
  <si>
    <t>condition</t>
  </si>
  <si>
    <t>5=v.good</t>
  </si>
  <si>
    <t>4=good</t>
  </si>
  <si>
    <t>2-3= average</t>
  </si>
  <si>
    <t>0-1=poor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</si>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</sst>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0" applyNumberFormat="1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24">
    <dxf>
      <font>
        <color rgb="FFFF00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F0"/>
      </font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F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F0"/>
      </font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C252-1566-4E09-996C-A3B089BC67B4}">
  <dimension ref="B1:N29"/>
  <sheetViews>
    <sheetView tabSelected="1" topLeftCell="A2" workbookViewId="0">
      <selection activeCell="C2" sqref="C2:F6"/>
    </sheetView>
  </sheetViews>
  <sheetFormatPr defaultRowHeight="14.4" x14ac:dyDescent="0.3"/>
  <cols>
    <col min="2" max="2" width="14.33203125" bestFit="1" customWidth="1"/>
    <col min="3" max="5" width="5" bestFit="1" customWidth="1"/>
    <col min="6" max="6" width="6" bestFit="1" customWidth="1"/>
    <col min="7" max="7" width="9.5546875" bestFit="1" customWidth="1"/>
    <col min="8" max="8" width="4.21875" bestFit="1" customWidth="1"/>
    <col min="10" max="10" width="6" bestFit="1" customWidth="1"/>
    <col min="11" max="11" width="11" bestFit="1" customWidth="1"/>
    <col min="12" max="12" width="10.33203125" bestFit="1" customWidth="1"/>
    <col min="14" max="14" width="61.109375" bestFit="1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</v>
      </c>
      <c r="H1" t="s">
        <v>11</v>
      </c>
      <c r="I1" t="s">
        <v>12</v>
      </c>
      <c r="J1" t="s">
        <v>13</v>
      </c>
      <c r="K1" t="s">
        <v>33</v>
      </c>
      <c r="L1" t="s">
        <v>34</v>
      </c>
      <c r="M1" t="s">
        <v>35</v>
      </c>
      <c r="N1" t="s">
        <v>36</v>
      </c>
    </row>
    <row r="2" spans="2:14" x14ac:dyDescent="0.3">
      <c r="B2" t="s">
        <v>5</v>
      </c>
      <c r="C2">
        <v>99</v>
      </c>
      <c r="D2">
        <v>90</v>
      </c>
      <c r="E2">
        <v>95</v>
      </c>
      <c r="F2">
        <f>SUM(C2:E2)</f>
        <v>284</v>
      </c>
      <c r="G2">
        <f>MAX(C2:E2)</f>
        <v>99</v>
      </c>
      <c r="H2">
        <f>MIN(C2:E2)</f>
        <v>90</v>
      </c>
      <c r="I2" s="2">
        <f>SUM(F2/300*100)</f>
        <v>94.666666666666671</v>
      </c>
      <c r="J2" t="str">
        <f>IF(I2&gt;=35,"pass","fail")</f>
        <v>pass</v>
      </c>
      <c r="K2" t="str">
        <f>IF(AND(C2&gt;=35,D2&gt;=35,E2&gt;=35),"pass","fail")</f>
        <v>pass</v>
      </c>
      <c r="L2" t="str">
        <f>IF(OR(C2&gt;=35,D2&gt;=35,E2&gt;=35),"pass","fail")</f>
        <v>pass</v>
      </c>
      <c r="M2" t="str">
        <f>IF(I2&gt;=90,"A++",IF(I2&gt;=75,"A+",IF(I2&gt;=60,"A",IF(I2&gt;=45,"B",IF(I2&gt;=35,"C","fail")))))</f>
        <v>A++</v>
      </c>
      <c r="N2" t="str">
        <f>IF(K2="FAIL","FAIL",IF(I2&gt;=90,"A++",IF(I2&gt;=75,"A+",IF(I2&gt;=60,"A",IF(I2&gt;=45,"B",IF(I2&gt;=35,"C","fail"))))))</f>
        <v>A++</v>
      </c>
    </row>
    <row r="3" spans="2:14" x14ac:dyDescent="0.3">
      <c r="B3" t="s">
        <v>6</v>
      </c>
      <c r="C3">
        <v>10</v>
      </c>
      <c r="D3">
        <v>91</v>
      </c>
      <c r="E3">
        <v>35</v>
      </c>
      <c r="F3">
        <f>SUM(C3:E3)</f>
        <v>136</v>
      </c>
      <c r="G3">
        <f t="shared" ref="G3:G6" si="0">MAX(C3:E3)</f>
        <v>91</v>
      </c>
      <c r="H3">
        <f t="shared" ref="H3:H6" si="1">MIN(C3:E3)</f>
        <v>10</v>
      </c>
      <c r="I3" s="2">
        <f t="shared" ref="I3:I6" si="2">SUM(F3/300*100)</f>
        <v>45.333333333333329</v>
      </c>
      <c r="J3" t="str">
        <f t="shared" ref="J3:J6" si="3">IF(I3&gt;=35,"pass","fail")</f>
        <v>pass</v>
      </c>
      <c r="K3" t="str">
        <f t="shared" ref="K3:K6" si="4">IF(AND(C3&gt;=35,D3&gt;=35,E3&gt;=35),"pass","fail")</f>
        <v>fail</v>
      </c>
      <c r="L3" t="str">
        <f t="shared" ref="L3:L6" si="5">IF(OR(C3&gt;=35,D3&gt;=35,E3&gt;=35),"pass","fail")</f>
        <v>pass</v>
      </c>
      <c r="M3" t="str">
        <f t="shared" ref="M3:M6" si="6">IF(I3&gt;=90,"A++",IF(I3&gt;=75,"A+",IF(I3&gt;=60,"A",IF(I3&gt;=45,"B",IF(I3&gt;=35,"C","fail")))))</f>
        <v>B</v>
      </c>
      <c r="N3" t="str">
        <f t="shared" ref="N3:N6" si="7">IF(K3="FAIL","FAIL",IF(I3&gt;=90,"A++",IF(I3&gt;=75,"A+",IF(I3&gt;=60,"A",IF(I3&gt;=45,"B",IF(I3&gt;=35,"C","fail"))))))</f>
        <v>FAIL</v>
      </c>
    </row>
    <row r="4" spans="2:14" x14ac:dyDescent="0.3">
      <c r="B4" t="s">
        <v>5</v>
      </c>
      <c r="C4">
        <v>40</v>
      </c>
      <c r="D4">
        <v>60</v>
      </c>
      <c r="E4">
        <v>10</v>
      </c>
      <c r="F4">
        <f t="shared" ref="F4:F6" si="8">SUM(C4:E4)</f>
        <v>110</v>
      </c>
      <c r="G4">
        <f t="shared" si="0"/>
        <v>60</v>
      </c>
      <c r="H4">
        <f t="shared" si="1"/>
        <v>10</v>
      </c>
      <c r="I4" s="2">
        <f t="shared" si="2"/>
        <v>36.666666666666664</v>
      </c>
      <c r="J4" t="str">
        <f>IF(I4&gt;=35,"pass","fail")</f>
        <v>pass</v>
      </c>
      <c r="K4" t="str">
        <f t="shared" si="4"/>
        <v>fail</v>
      </c>
      <c r="L4" t="str">
        <f t="shared" si="5"/>
        <v>pass</v>
      </c>
      <c r="M4" t="str">
        <f t="shared" si="6"/>
        <v>C</v>
      </c>
      <c r="N4" t="str">
        <f t="shared" si="7"/>
        <v>FAIL</v>
      </c>
    </row>
    <row r="5" spans="2:14" x14ac:dyDescent="0.3">
      <c r="B5" t="s">
        <v>8</v>
      </c>
      <c r="C5">
        <v>19</v>
      </c>
      <c r="D5">
        <v>70</v>
      </c>
      <c r="E5">
        <v>22</v>
      </c>
      <c r="F5">
        <f t="shared" si="8"/>
        <v>111</v>
      </c>
      <c r="G5">
        <f t="shared" si="0"/>
        <v>70</v>
      </c>
      <c r="H5">
        <f t="shared" si="1"/>
        <v>19</v>
      </c>
      <c r="I5" s="2">
        <f t="shared" si="2"/>
        <v>37</v>
      </c>
      <c r="J5" t="str">
        <f t="shared" si="3"/>
        <v>pass</v>
      </c>
      <c r="K5" t="str">
        <f t="shared" si="4"/>
        <v>fail</v>
      </c>
      <c r="L5" t="str">
        <f t="shared" si="5"/>
        <v>pass</v>
      </c>
      <c r="M5" t="str">
        <f t="shared" si="6"/>
        <v>C</v>
      </c>
      <c r="N5" t="str">
        <f t="shared" si="7"/>
        <v>FAIL</v>
      </c>
    </row>
    <row r="6" spans="2:14" x14ac:dyDescent="0.3">
      <c r="B6" t="s">
        <v>9</v>
      </c>
      <c r="C6">
        <v>28</v>
      </c>
      <c r="D6">
        <v>88</v>
      </c>
      <c r="E6">
        <v>87</v>
      </c>
      <c r="F6">
        <f t="shared" si="8"/>
        <v>203</v>
      </c>
      <c r="G6">
        <f t="shared" si="0"/>
        <v>88</v>
      </c>
      <c r="H6">
        <f t="shared" si="1"/>
        <v>28</v>
      </c>
      <c r="I6" s="2">
        <f t="shared" si="2"/>
        <v>67.666666666666657</v>
      </c>
      <c r="J6" t="str">
        <f t="shared" si="3"/>
        <v>pass</v>
      </c>
      <c r="K6" t="str">
        <f t="shared" si="4"/>
        <v>fail</v>
      </c>
      <c r="L6" t="str">
        <f t="shared" si="5"/>
        <v>pass</v>
      </c>
      <c r="M6" t="str">
        <f t="shared" si="6"/>
        <v>A</v>
      </c>
      <c r="N6" t="str">
        <f t="shared" si="7"/>
        <v>FAIL</v>
      </c>
    </row>
    <row r="8" spans="2:14" x14ac:dyDescent="0.3">
      <c r="F8" t="s">
        <v>14</v>
      </c>
      <c r="K8" t="s">
        <v>27</v>
      </c>
    </row>
    <row r="9" spans="2:14" x14ac:dyDescent="0.3">
      <c r="F9">
        <v>45</v>
      </c>
      <c r="G9" t="str">
        <f>IF(F9&gt;=18,"eligible","not eligible")</f>
        <v>eligible</v>
      </c>
      <c r="K9" t="s">
        <v>28</v>
      </c>
    </row>
    <row r="10" spans="2:14" x14ac:dyDescent="0.3">
      <c r="F10">
        <v>65</v>
      </c>
      <c r="G10" t="str">
        <f t="shared" ref="G10:G12" si="9">IF(F10&gt;=18,"eligible","not eligible")</f>
        <v>eligible</v>
      </c>
      <c r="K10" t="s">
        <v>29</v>
      </c>
    </row>
    <row r="11" spans="2:14" x14ac:dyDescent="0.3">
      <c r="F11">
        <v>25</v>
      </c>
      <c r="G11" t="str">
        <f t="shared" si="9"/>
        <v>eligible</v>
      </c>
      <c r="K11" t="s">
        <v>30</v>
      </c>
    </row>
    <row r="12" spans="2:14" x14ac:dyDescent="0.3">
      <c r="F12">
        <v>17</v>
      </c>
      <c r="G12" t="str">
        <f t="shared" si="9"/>
        <v>not eligible</v>
      </c>
      <c r="K12" t="s">
        <v>31</v>
      </c>
    </row>
    <row r="13" spans="2:14" x14ac:dyDescent="0.3">
      <c r="K13" t="s">
        <v>32</v>
      </c>
    </row>
    <row r="14" spans="2:14" x14ac:dyDescent="0.3">
      <c r="F14" t="s">
        <v>15</v>
      </c>
      <c r="G14" t="s">
        <v>16</v>
      </c>
    </row>
    <row r="15" spans="2:14" x14ac:dyDescent="0.3">
      <c r="B15" t="s">
        <v>0</v>
      </c>
      <c r="C15" t="s">
        <v>1</v>
      </c>
      <c r="D15" t="s">
        <v>2</v>
      </c>
      <c r="E15" t="s">
        <v>3</v>
      </c>
      <c r="F15" t="s">
        <v>13</v>
      </c>
      <c r="G15" t="s">
        <v>13</v>
      </c>
      <c r="L15" t="s">
        <v>57</v>
      </c>
    </row>
    <row r="16" spans="2:14" x14ac:dyDescent="0.3">
      <c r="B16" t="s">
        <v>5</v>
      </c>
      <c r="C16" s="1">
        <v>148</v>
      </c>
      <c r="D16" s="1">
        <v>82</v>
      </c>
      <c r="E16" s="1">
        <v>90</v>
      </c>
      <c r="F16" t="str">
        <f>IF(AND(C16&gt;=35,D16&gt;=35,E16&gt;=35),"pass","fail")</f>
        <v>pass</v>
      </c>
      <c r="G16" t="str">
        <f>IF(OR(C16&lt;35,D16&lt;35,E16&lt;35),"fail","pass")</f>
        <v>pass</v>
      </c>
      <c r="L16" s="5">
        <v>46245</v>
      </c>
    </row>
    <row r="17" spans="2:12" x14ac:dyDescent="0.3">
      <c r="B17" t="s">
        <v>6</v>
      </c>
      <c r="C17" s="1">
        <v>36</v>
      </c>
      <c r="D17" s="1">
        <v>42</v>
      </c>
      <c r="E17" s="1">
        <v>20</v>
      </c>
      <c r="F17" t="str">
        <f t="shared" ref="F17:F20" si="10">IF(AND(C17&gt;=35,D17&gt;=35,E17&gt;=35),"pass","fail")</f>
        <v>fail</v>
      </c>
      <c r="G17" t="str">
        <f t="shared" ref="G17:G20" si="11">IF(OR(C17&lt;35,D17&lt;35,E17&lt;35),"fail","pass")</f>
        <v>fail</v>
      </c>
      <c r="L17" s="5">
        <v>46246</v>
      </c>
    </row>
    <row r="18" spans="2:12" x14ac:dyDescent="0.3">
      <c r="B18" t="s">
        <v>7</v>
      </c>
      <c r="C18" s="1">
        <v>70</v>
      </c>
      <c r="D18" s="1">
        <v>32</v>
      </c>
      <c r="E18" s="1">
        <v>80</v>
      </c>
      <c r="F18" t="str">
        <f t="shared" si="10"/>
        <v>fail</v>
      </c>
      <c r="G18" t="str">
        <f t="shared" si="11"/>
        <v>fail</v>
      </c>
      <c r="L18" s="5">
        <v>46247</v>
      </c>
    </row>
    <row r="19" spans="2:12" x14ac:dyDescent="0.3">
      <c r="B19" t="s">
        <v>8</v>
      </c>
      <c r="C19" s="1">
        <v>35</v>
      </c>
      <c r="D19" s="1">
        <v>55</v>
      </c>
      <c r="E19" s="1">
        <v>73</v>
      </c>
      <c r="F19" t="str">
        <f t="shared" si="10"/>
        <v>pass</v>
      </c>
      <c r="G19" t="str">
        <f t="shared" si="11"/>
        <v>pass</v>
      </c>
      <c r="L19" s="5">
        <v>46248</v>
      </c>
    </row>
    <row r="20" spans="2:12" x14ac:dyDescent="0.3">
      <c r="B20" t="s">
        <v>9</v>
      </c>
      <c r="C20" s="1">
        <v>36</v>
      </c>
      <c r="D20" s="1">
        <v>88</v>
      </c>
      <c r="E20" s="1">
        <v>87</v>
      </c>
      <c r="F20" t="str">
        <f t="shared" si="10"/>
        <v>pass</v>
      </c>
      <c r="G20" t="str">
        <f t="shared" si="11"/>
        <v>pass</v>
      </c>
      <c r="L20" s="5">
        <v>46249</v>
      </c>
    </row>
    <row r="21" spans="2:12" x14ac:dyDescent="0.3">
      <c r="L21" s="5">
        <v>46250</v>
      </c>
    </row>
    <row r="22" spans="2:12" x14ac:dyDescent="0.3">
      <c r="L22" s="5">
        <v>46251</v>
      </c>
    </row>
    <row r="23" spans="2:12" x14ac:dyDescent="0.3">
      <c r="L23" s="5">
        <v>46252</v>
      </c>
    </row>
    <row r="24" spans="2:12" x14ac:dyDescent="0.3">
      <c r="L24" s="5">
        <v>46253</v>
      </c>
    </row>
    <row r="25" spans="2:12" x14ac:dyDescent="0.3">
      <c r="L25" s="5">
        <v>46254</v>
      </c>
    </row>
    <row r="26" spans="2:12" x14ac:dyDescent="0.3">
      <c r="L26" s="5">
        <v>46255</v>
      </c>
    </row>
    <row r="27" spans="2:12" x14ac:dyDescent="0.3">
      <c r="L27" s="5">
        <v>46256</v>
      </c>
    </row>
    <row r="28" spans="2:12" x14ac:dyDescent="0.3">
      <c r="L28" s="5">
        <v>46257</v>
      </c>
    </row>
    <row r="29" spans="2:12" x14ac:dyDescent="0.3">
      <c r="L29" s="5">
        <v>46258</v>
      </c>
    </row>
  </sheetData>
  <conditionalFormatting sqref="B2:B6">
    <cfRule type="duplicateValues" dxfId="15" priority="3"/>
  </conditionalFormatting>
  <conditionalFormatting sqref="C2:F6">
    <cfRule type="cellIs" dxfId="1" priority="7" operator="greaterThan">
      <formula>35</formula>
    </cfRule>
    <cfRule type="cellIs" dxfId="0" priority="9" operator="lessThan">
      <formula>35</formula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{FA58D229-3232-4AC9-AF6E-47F11F04FAA7}</x14:id>
        </ext>
      </extLst>
    </cfRule>
  </conditionalFormatting>
  <conditionalFormatting sqref="E3">
    <cfRule type="cellIs" dxfId="14" priority="6" operator="equal">
      <formula>35</formula>
    </cfRule>
  </conditionalFormatting>
  <conditionalFormatting sqref="E4">
    <cfRule type="cellIs" dxfId="13" priority="8" operator="greaterThan">
      <formula>35</formula>
    </cfRule>
  </conditionalFormatting>
  <conditionalFormatting sqref="I2:I6">
    <cfRule type="cellIs" dxfId="12" priority="5" operator="between">
      <formula>25</formula>
      <formula>50</formula>
    </cfRule>
    <cfRule type="cellIs" dxfId="11" priority="10" operator="greaterThan">
      <formula>60</formula>
    </cfRule>
  </conditionalFormatting>
  <conditionalFormatting sqref="K2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L16:L29">
    <cfRule type="timePeriod" dxfId="10" priority="4" timePeriod="tomorrow">
      <formula>FLOOR(L16,1)=TODAY()+1</formula>
    </cfRule>
  </conditionalFormatting>
  <conditionalFormatting sqref="N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{407CABBD-3073-48E5-A588-4F2DE626EAD7}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58D229-3232-4AC9-AF6E-47F11F04FA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C2:F6</xm:sqref>
        </x14:conditionalFormatting>
        <x14:conditionalFormatting xmlns:xm="http://schemas.microsoft.com/office/excel/2006/main">
          <x14:cfRule type="dataBar" id="{407CABBD-3073-48E5-A588-4F2DE626EAD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0CCF-14FE-4987-9D94-886D439A37CE}">
  <dimension ref="A1:F10"/>
  <sheetViews>
    <sheetView workbookViewId="0">
      <selection activeCell="G1" sqref="G1"/>
    </sheetView>
  </sheetViews>
  <sheetFormatPr defaultRowHeight="14.4" x14ac:dyDescent="0.3"/>
  <cols>
    <col min="1" max="1" width="5.5546875" bestFit="1" customWidth="1"/>
    <col min="2" max="2" width="4.88671875" bestFit="1" customWidth="1"/>
    <col min="3" max="3" width="8.33203125" bestFit="1" customWidth="1"/>
    <col min="4" max="4" width="14.21875" bestFit="1" customWidth="1"/>
    <col min="5" max="5" width="19.77734375" bestFit="1" customWidth="1"/>
    <col min="6" max="6" width="18.44140625" bestFit="1" customWidth="1"/>
  </cols>
  <sheetData>
    <row r="1" spans="1:6" x14ac:dyDescent="0.3">
      <c r="A1" t="s">
        <v>17</v>
      </c>
      <c r="B1" t="s">
        <v>18</v>
      </c>
      <c r="C1" t="s">
        <v>19</v>
      </c>
      <c r="D1" t="s">
        <v>22</v>
      </c>
      <c r="E1" t="s">
        <v>25</v>
      </c>
      <c r="F1" t="s">
        <v>26</v>
      </c>
    </row>
    <row r="2" spans="1:6" x14ac:dyDescent="0.3">
      <c r="B2" t="s">
        <v>5</v>
      </c>
      <c r="C2">
        <v>126</v>
      </c>
      <c r="D2">
        <v>9</v>
      </c>
      <c r="E2" t="str">
        <f>IF(AND(C2&gt;=130,D2&gt;=5),"yes","no")</f>
        <v>no</v>
      </c>
      <c r="F2" t="str">
        <f>IF(OR(C2&gt;=130,D2&gt;=5),"yes","no")</f>
        <v>yes</v>
      </c>
    </row>
    <row r="3" spans="1:6" x14ac:dyDescent="0.3">
      <c r="B3" t="s">
        <v>6</v>
      </c>
      <c r="C3">
        <v>145</v>
      </c>
      <c r="D3">
        <v>5</v>
      </c>
      <c r="E3" t="str">
        <f t="shared" ref="E3:E6" si="0">IF(AND(C3&gt;=130,D3&gt;=5),"yes","no")</f>
        <v>yes</v>
      </c>
      <c r="F3" t="str">
        <f t="shared" ref="F3:F6" si="1">IF(OR(C3&gt;=130,D3&gt;=5),"yes","no")</f>
        <v>yes</v>
      </c>
    </row>
    <row r="4" spans="1:6" x14ac:dyDescent="0.3">
      <c r="B4" t="s">
        <v>7</v>
      </c>
      <c r="C4">
        <v>123</v>
      </c>
      <c r="D4">
        <v>6</v>
      </c>
      <c r="E4" t="str">
        <f t="shared" si="0"/>
        <v>no</v>
      </c>
      <c r="F4" t="str">
        <f t="shared" si="1"/>
        <v>yes</v>
      </c>
    </row>
    <row r="5" spans="1:6" x14ac:dyDescent="0.3">
      <c r="B5" t="s">
        <v>8</v>
      </c>
      <c r="C5">
        <v>121</v>
      </c>
      <c r="D5">
        <v>3</v>
      </c>
      <c r="E5" t="str">
        <f t="shared" si="0"/>
        <v>no</v>
      </c>
      <c r="F5" t="str">
        <f t="shared" si="1"/>
        <v>no</v>
      </c>
    </row>
    <row r="6" spans="1:6" x14ac:dyDescent="0.3">
      <c r="B6" t="s">
        <v>9</v>
      </c>
      <c r="C6">
        <v>141</v>
      </c>
      <c r="D6">
        <v>4</v>
      </c>
      <c r="E6" t="str">
        <f t="shared" si="0"/>
        <v>no</v>
      </c>
      <c r="F6" t="str">
        <f t="shared" si="1"/>
        <v>yes</v>
      </c>
    </row>
    <row r="8" spans="1:6" x14ac:dyDescent="0.3">
      <c r="D8" t="s">
        <v>23</v>
      </c>
      <c r="E8" t="s">
        <v>24</v>
      </c>
    </row>
    <row r="9" spans="1:6" x14ac:dyDescent="0.3">
      <c r="D9" t="s">
        <v>20</v>
      </c>
      <c r="E9" t="s">
        <v>20</v>
      </c>
    </row>
    <row r="10" spans="1:6" x14ac:dyDescent="0.3">
      <c r="D10" t="s">
        <v>21</v>
      </c>
      <c r="E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02D4-0AC6-466C-8E7F-206F57BF02FD}">
  <dimension ref="A1:D13"/>
  <sheetViews>
    <sheetView workbookViewId="0">
      <selection activeCell="D2" sqref="D2:D7"/>
    </sheetView>
  </sheetViews>
  <sheetFormatPr defaultRowHeight="14.4" x14ac:dyDescent="0.3"/>
  <cols>
    <col min="2" max="2" width="19.88671875" bestFit="1" customWidth="1"/>
    <col min="3" max="3" width="12.33203125" bestFit="1" customWidth="1"/>
    <col min="4" max="4" width="9.44140625" bestFit="1" customWidth="1"/>
  </cols>
  <sheetData>
    <row r="1" spans="1:4" x14ac:dyDescent="0.3">
      <c r="A1" t="s">
        <v>37</v>
      </c>
      <c r="B1" t="s">
        <v>38</v>
      </c>
      <c r="C1" t="s">
        <v>39</v>
      </c>
      <c r="D1" t="s">
        <v>40</v>
      </c>
    </row>
    <row r="2" spans="1:4" x14ac:dyDescent="0.3">
      <c r="B2" t="s">
        <v>41</v>
      </c>
      <c r="C2">
        <v>18</v>
      </c>
      <c r="D2" s="4" cm="1">
        <f t="array" ref="D2">_xlfn.IFS(C2&gt;=10,20%,C2&gt;=5,10%,C2&lt;=5,0)</f>
        <v>0.2</v>
      </c>
    </row>
    <row r="3" spans="1:4" x14ac:dyDescent="0.3">
      <c r="B3" t="s">
        <v>42</v>
      </c>
      <c r="C3">
        <v>3</v>
      </c>
      <c r="D3" s="4" cm="1">
        <f t="array" ref="D3">_xlfn.IFS(C3&gt;=10,20%,C3&gt;=5,10%,C3&lt;=5,0)</f>
        <v>0</v>
      </c>
    </row>
    <row r="4" spans="1:4" x14ac:dyDescent="0.3">
      <c r="B4" t="s">
        <v>43</v>
      </c>
      <c r="C4">
        <v>11</v>
      </c>
      <c r="D4" s="4" cm="1">
        <f t="array" ref="D4">_xlfn.IFS(C4&gt;=10,20%,C4&gt;=5,10%,C4&lt;=5,0)</f>
        <v>0.2</v>
      </c>
    </row>
    <row r="5" spans="1:4" x14ac:dyDescent="0.3">
      <c r="B5" t="s">
        <v>44</v>
      </c>
      <c r="C5">
        <v>6</v>
      </c>
      <c r="D5" s="4" cm="1">
        <f t="array" ref="D5">_xlfn.IFS(C5&gt;=10,20%,C5&gt;=5,10%,C5&lt;=5,0)</f>
        <v>0.1</v>
      </c>
    </row>
    <row r="6" spans="1:4" x14ac:dyDescent="0.3">
      <c r="B6" t="s">
        <v>45</v>
      </c>
      <c r="C6">
        <v>7</v>
      </c>
      <c r="D6" s="4" cm="1">
        <f t="array" ref="D6">_xlfn.IFS(C6&gt;=10,20%,C6&gt;=5,10%,C6&lt;=5,0)</f>
        <v>0.1</v>
      </c>
    </row>
    <row r="7" spans="1:4" x14ac:dyDescent="0.3">
      <c r="B7" t="s">
        <v>46</v>
      </c>
      <c r="C7">
        <v>4</v>
      </c>
      <c r="D7" s="4" cm="1">
        <f t="array" ref="D7">_xlfn.IFS(C7&gt;=10,20%,C7&gt;=5,10%,C7&lt;=5,0)</f>
        <v>0</v>
      </c>
    </row>
    <row r="10" spans="1:4" x14ac:dyDescent="0.3">
      <c r="B10" t="s">
        <v>47</v>
      </c>
    </row>
    <row r="11" spans="1:4" x14ac:dyDescent="0.3">
      <c r="B11" t="s">
        <v>48</v>
      </c>
      <c r="C11" s="3">
        <v>0.2</v>
      </c>
      <c r="D11" s="3"/>
    </row>
    <row r="12" spans="1:4" x14ac:dyDescent="0.3">
      <c r="B12" t="s">
        <v>49</v>
      </c>
      <c r="C12" s="3">
        <v>0.1</v>
      </c>
    </row>
    <row r="13" spans="1:4" x14ac:dyDescent="0.3">
      <c r="B13" t="s">
        <v>50</v>
      </c>
      <c r="C13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8CBC-040C-4C7E-AF75-4AB8B7DE385D}">
  <dimension ref="B1:C15"/>
  <sheetViews>
    <sheetView workbookViewId="0">
      <selection activeCell="C2" sqref="C2:C9"/>
    </sheetView>
  </sheetViews>
  <sheetFormatPr defaultRowHeight="14.4" x14ac:dyDescent="0.3"/>
  <sheetData>
    <row r="1" spans="2:3" x14ac:dyDescent="0.3">
      <c r="B1" t="s">
        <v>51</v>
      </c>
    </row>
    <row r="2" spans="2:3" x14ac:dyDescent="0.3">
      <c r="B2">
        <v>5</v>
      </c>
      <c r="C2" t="str" cm="1">
        <f t="array" ref="C2">_xlfn.IFS(B2=5,"v.good",B2=4,"good",B2&gt;=2,"average",B2&gt;=0,"poor")</f>
        <v>v.good</v>
      </c>
    </row>
    <row r="3" spans="2:3" x14ac:dyDescent="0.3">
      <c r="B3">
        <v>2</v>
      </c>
      <c r="C3" t="str" cm="1">
        <f t="array" ref="C3">_xlfn.IFS(B3=5,"v.good",B3=4,"good",B3&gt;=2,"average",B3&gt;=0,"poor")</f>
        <v>average</v>
      </c>
    </row>
    <row r="4" spans="2:3" x14ac:dyDescent="0.3">
      <c r="B4">
        <v>3</v>
      </c>
      <c r="C4" t="str" cm="1">
        <f t="array" ref="C4">_xlfn.IFS(B4=5,"v.good",B4=4,"good",B4&gt;=2,"average",B4&gt;=0,"poor")</f>
        <v>average</v>
      </c>
    </row>
    <row r="5" spans="2:3" x14ac:dyDescent="0.3">
      <c r="B5">
        <v>4</v>
      </c>
      <c r="C5" t="str" cm="1">
        <f t="array" ref="C5">_xlfn.IFS(B5=5,"v.good",B5=4,"good",B5&gt;=2,"average",B5&gt;=0,"poor")</f>
        <v>good</v>
      </c>
    </row>
    <row r="6" spans="2:3" x14ac:dyDescent="0.3">
      <c r="B6">
        <v>5</v>
      </c>
      <c r="C6" t="str" cm="1">
        <f t="array" ref="C6">_xlfn.IFS(B6=5,"v.good",B6=4,"good",B6&gt;=2,"average",B6&gt;=0,"poor")</f>
        <v>v.good</v>
      </c>
    </row>
    <row r="7" spans="2:3" x14ac:dyDescent="0.3">
      <c r="B7">
        <v>1</v>
      </c>
      <c r="C7" t="str" cm="1">
        <f t="array" ref="C7">_xlfn.IFS(B7=5,"v.good",B7=4,"good",B7&gt;=2,"average",B7&gt;=0,"poor")</f>
        <v>poor</v>
      </c>
    </row>
    <row r="8" spans="2:3" x14ac:dyDescent="0.3">
      <c r="B8">
        <v>2</v>
      </c>
      <c r="C8" t="str" cm="1">
        <f t="array" ref="C8">_xlfn.IFS(B8=5,"v.good",B8=4,"good",B8&gt;=2,"average",B8&gt;=0,"poor")</f>
        <v>average</v>
      </c>
    </row>
    <row r="9" spans="2:3" x14ac:dyDescent="0.3">
      <c r="B9">
        <v>1</v>
      </c>
      <c r="C9" t="str" cm="1">
        <f t="array" ref="C9">_xlfn.IFS(B9=5,"v.good",B9=4,"good",B9&gt;=2,"average",B9&gt;=0,"poor")</f>
        <v>poor</v>
      </c>
    </row>
    <row r="11" spans="2:3" x14ac:dyDescent="0.3">
      <c r="B11" t="s">
        <v>52</v>
      </c>
    </row>
    <row r="12" spans="2:3" x14ac:dyDescent="0.3">
      <c r="B12" t="s">
        <v>53</v>
      </c>
    </row>
    <row r="13" spans="2:3" x14ac:dyDescent="0.3">
      <c r="B13" t="s">
        <v>54</v>
      </c>
    </row>
    <row r="14" spans="2:3" x14ac:dyDescent="0.3">
      <c r="B14" t="s">
        <v>55</v>
      </c>
    </row>
    <row r="15" spans="2:3" x14ac:dyDescent="0.3">
      <c r="B1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MUSTANSIR HUSSAIN</dc:creator>
  <cp:lastModifiedBy>MUSTANSIR HUSSAIN</cp:lastModifiedBy>
  <dcterms:created xsi:type="dcterms:W3CDTF">2026-08-15T10:28:44Z</dcterms:created>
  <dcterms:modified xsi:type="dcterms:W3CDTF">2026-08-19T11:10:23Z</dcterms:modified>
</cp:coreProperties>
</file>