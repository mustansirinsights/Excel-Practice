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219a29b549852/Documents/"/>
    </mc:Choice>
  </mc:AlternateContent>
  <xr:revisionPtr revIDLastSave="0" documentId="8_{B6D7C96A-3586-4698-99FE-9CF8A542216B}" xr6:coauthVersionLast="47" xr6:coauthVersionMax="47" xr10:uidLastSave="{00000000-0000-0000-0000-000000000000}"/>
  <bookViews>
    <workbookView xWindow="-108" yWindow="-108" windowWidth="23256" windowHeight="13896" activeTab="2" xr2:uid="{8D4F1DE9-021E-4902-B5AF-1E8EE62F523A}"/>
  </bookViews>
  <sheets>
    <sheet name="sum,avg,max,min, if,And, or" sheetId="1" r:id="rId1"/>
    <sheet name="Sheet2" sheetId="2" r:id="rId2"/>
    <sheet name="Sheet3" sheetId="3" r:id="rId3"/>
    <sheet name="count,countA, counti , countif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4" l="1"/>
  <c r="G35" i="4"/>
  <c r="E35" i="4"/>
  <c r="B33" i="4"/>
  <c r="K24" i="4"/>
  <c r="K23" i="4"/>
  <c r="G21" i="4"/>
  <c r="C20" i="4"/>
  <c r="B20" i="4"/>
  <c r="A20" i="4"/>
  <c r="B8" i="4"/>
  <c r="A8" i="4"/>
  <c r="L57" i="3"/>
  <c r="K57" i="3"/>
  <c r="J57" i="3"/>
  <c r="I57" i="3"/>
  <c r="H57" i="3"/>
  <c r="G57" i="3"/>
  <c r="E57" i="3"/>
  <c r="L56" i="3"/>
  <c r="K56" i="3"/>
  <c r="J56" i="3"/>
  <c r="I56" i="3"/>
  <c r="H56" i="3"/>
  <c r="G56" i="3"/>
  <c r="E56" i="3"/>
  <c r="I37" i="3"/>
  <c r="I36" i="3"/>
  <c r="H37" i="3"/>
  <c r="G37" i="3"/>
  <c r="E37" i="3"/>
  <c r="J37" i="3" s="1"/>
  <c r="L37" i="3" s="1"/>
  <c r="H36" i="3"/>
  <c r="G36" i="3"/>
  <c r="E36" i="3"/>
  <c r="I11" i="3"/>
  <c r="H11" i="3"/>
  <c r="G11" i="3"/>
  <c r="E11" i="3"/>
  <c r="G10" i="2"/>
  <c r="G11" i="2"/>
  <c r="G12" i="2"/>
  <c r="F12" i="2"/>
  <c r="F19" i="2"/>
  <c r="G19" i="2" s="1"/>
  <c r="F11" i="2"/>
  <c r="F10" i="2"/>
  <c r="P7" i="1"/>
  <c r="P6" i="1"/>
  <c r="M6" i="1"/>
  <c r="I6" i="1"/>
  <c r="J6" i="1"/>
  <c r="K6" i="1"/>
  <c r="H6" i="1"/>
  <c r="J36" i="3" l="1"/>
  <c r="L36" i="3" s="1"/>
  <c r="J11" i="3"/>
  <c r="L11" i="3" s="1"/>
  <c r="L6" i="1"/>
</calcChain>
</file>

<file path=xl/sharedStrings.xml><?xml version="1.0" encoding="utf-8"?>
<sst xmlns="http://schemas.openxmlformats.org/spreadsheetml/2006/main" count="143" uniqueCount="93">
  <si>
    <t>Student Report Card</t>
  </si>
  <si>
    <t>Roll NO.</t>
  </si>
  <si>
    <t>Name</t>
  </si>
  <si>
    <t>Excel</t>
  </si>
  <si>
    <t>Python</t>
  </si>
  <si>
    <t>SQL</t>
  </si>
  <si>
    <t>ML</t>
  </si>
  <si>
    <t>GENAI</t>
  </si>
  <si>
    <t>Total Marks</t>
  </si>
  <si>
    <t>Min</t>
  </si>
  <si>
    <t>Result</t>
  </si>
  <si>
    <t>Grade</t>
  </si>
  <si>
    <t>Average</t>
  </si>
  <si>
    <t>max</t>
  </si>
  <si>
    <t>&gt;=90A</t>
  </si>
  <si>
    <t>&gt;=80b</t>
  </si>
  <si>
    <t>&gt;=70c</t>
  </si>
  <si>
    <t>&lt;70d</t>
  </si>
  <si>
    <t xml:space="preserve">result </t>
  </si>
  <si>
    <t>if you will get 40 marks in each subject then you pass</t>
  </si>
  <si>
    <t>BILL CACULATION</t>
  </si>
  <si>
    <t>ITEM CODE</t>
  </si>
  <si>
    <t>PRICE</t>
  </si>
  <si>
    <t>QTY</t>
  </si>
  <si>
    <t>CITY</t>
  </si>
  <si>
    <t>TOTAL AMOUNT</t>
  </si>
  <si>
    <t>DISCOUNT</t>
  </si>
  <si>
    <t>TOTAL PAID</t>
  </si>
  <si>
    <t>PUNE</t>
  </si>
  <si>
    <t>indore</t>
  </si>
  <si>
    <t xml:space="preserve">if your total amount is upto 500 rs then 5% dis </t>
  </si>
  <si>
    <t>if total amount &gt;5000 10% dis</t>
  </si>
  <si>
    <t>users</t>
  </si>
  <si>
    <t>student</t>
  </si>
  <si>
    <t>teacher</t>
  </si>
  <si>
    <t>staff</t>
  </si>
  <si>
    <t>SALARY PAYSLIP</t>
  </si>
  <si>
    <t>EMP ID</t>
  </si>
  <si>
    <t>BASIC</t>
  </si>
  <si>
    <t>NAME</t>
  </si>
  <si>
    <t>AJAY</t>
  </si>
  <si>
    <t>HRA 10%</t>
  </si>
  <si>
    <t xml:space="preserve"> DA 15%</t>
  </si>
  <si>
    <t>PF 20%</t>
  </si>
  <si>
    <t>GS= BASIC+HRA+CCA+DA</t>
  </si>
  <si>
    <t>CCA 12%</t>
  </si>
  <si>
    <t xml:space="preserve">NET SALARY=GS-PF </t>
  </si>
  <si>
    <t>if basic &lt;=5000 5% other 10%</t>
  </si>
  <si>
    <t>metro 5% non metro 10%</t>
  </si>
  <si>
    <t>basic &lt;=5000 500 other 12%</t>
  </si>
  <si>
    <t>city</t>
  </si>
  <si>
    <t>metro</t>
  </si>
  <si>
    <t>non metro</t>
  </si>
  <si>
    <t>SALARY PAYSLIP 3</t>
  </si>
  <si>
    <t>SALARY PAYSLIP 2</t>
  </si>
  <si>
    <t>No .of leave</t>
  </si>
  <si>
    <t>Ajay</t>
  </si>
  <si>
    <t>leave amount</t>
  </si>
  <si>
    <t>fruit</t>
  </si>
  <si>
    <t>apple</t>
  </si>
  <si>
    <t>kivi</t>
  </si>
  <si>
    <t>orange</t>
  </si>
  <si>
    <t>numbers</t>
  </si>
  <si>
    <t>count all either text or no.</t>
  </si>
  <si>
    <t xml:space="preserve">cost </t>
  </si>
  <si>
    <t>&gt;4000</t>
  </si>
  <si>
    <t>&lt;4000</t>
  </si>
  <si>
    <t>&gt;=7000</t>
  </si>
  <si>
    <t>Marks</t>
  </si>
  <si>
    <t>count how many student are pass (40)</t>
  </si>
  <si>
    <t>attendence</t>
  </si>
  <si>
    <t xml:space="preserve">A </t>
  </si>
  <si>
    <t>P</t>
  </si>
  <si>
    <t>A</t>
  </si>
  <si>
    <t xml:space="preserve">NO. OF STUDENT PRESNET </t>
  </si>
  <si>
    <t>NO. OF STUDENT ABSENT</t>
  </si>
  <si>
    <t>age</t>
  </si>
  <si>
    <t>gender</t>
  </si>
  <si>
    <t>female</t>
  </si>
  <si>
    <t>male</t>
  </si>
  <si>
    <t xml:space="preserve">female &gt;=18 </t>
  </si>
  <si>
    <t>no.</t>
  </si>
  <si>
    <t>name</t>
  </si>
  <si>
    <t>boy</t>
  </si>
  <si>
    <t>girl</t>
  </si>
  <si>
    <t>boy&gt;=50</t>
  </si>
  <si>
    <t>girl&gt;=40</t>
  </si>
  <si>
    <t>dept</t>
  </si>
  <si>
    <t>admin</t>
  </si>
  <si>
    <t>sales</t>
  </si>
  <si>
    <t>marketing</t>
  </si>
  <si>
    <t>exp</t>
  </si>
  <si>
    <t>count how many emy we have in admin dep whose exp&gt;=4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</si>
</sst>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4"/>
      <color rgb="FF7030A0"/>
      <name val="Aptos Narrow"/>
      <family val="2"/>
      <scheme val="minor"/>
    </font>
    <font>
      <sz val="28"/>
      <color theme="8" tint="-0.249977111117893"/>
      <name val="Aptos Narrow"/>
      <family val="2"/>
      <scheme val="minor"/>
    </font>
    <font>
      <sz val="36"/>
      <color rgb="FF7030A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F766-79F2-4C53-B27C-71C686C09D5B}">
  <dimension ref="A1:T11"/>
  <sheetViews>
    <sheetView workbookViewId="0">
      <selection activeCell="S9" sqref="S9"/>
    </sheetView>
  </sheetViews>
  <sheetFormatPr defaultRowHeight="14.4" x14ac:dyDescent="0.3"/>
  <cols>
    <col min="8" max="8" width="10.109375" bestFit="1" customWidth="1"/>
    <col min="9" max="10" width="10.109375" customWidth="1"/>
    <col min="14" max="14" width="8.88671875" customWidth="1"/>
    <col min="15" max="15" width="6" customWidth="1"/>
    <col min="16" max="16" width="17.77734375" customWidth="1"/>
  </cols>
  <sheetData>
    <row r="1" spans="1:20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12</v>
      </c>
      <c r="J5" t="s">
        <v>13</v>
      </c>
      <c r="K5" t="s">
        <v>9</v>
      </c>
      <c r="L5" t="s">
        <v>10</v>
      </c>
      <c r="M5" t="s">
        <v>11</v>
      </c>
      <c r="P5" t="s">
        <v>18</v>
      </c>
    </row>
    <row r="6" spans="1:20" x14ac:dyDescent="0.3">
      <c r="C6">
        <v>98</v>
      </c>
      <c r="D6">
        <v>98</v>
      </c>
      <c r="E6">
        <v>77</v>
      </c>
      <c r="F6">
        <v>77</v>
      </c>
      <c r="G6">
        <v>8</v>
      </c>
      <c r="H6">
        <f>SUM(C6:G6)</f>
        <v>358</v>
      </c>
      <c r="I6">
        <f>AVERAGE(C6:G6)</f>
        <v>71.599999999999994</v>
      </c>
      <c r="J6">
        <f>MAX(C6:G6)</f>
        <v>98</v>
      </c>
      <c r="K6">
        <f>MIN(C6:G6)</f>
        <v>8</v>
      </c>
      <c r="L6" t="str">
        <f>IF(I6&gt;50,"pass","fail")</f>
        <v>pass</v>
      </c>
      <c r="M6" t="str">
        <f>IF(I6&gt;=90,"A",IF(I6&gt;=80,"B",IF(I6&gt;=70,"C","D")))</f>
        <v>C</v>
      </c>
      <c r="P6" t="str">
        <f>IF(OR(C6&gt;=40,D6&gt;=40,E6&gt;=40,F6&gt;=40,G6&gt;=40),"pass","fail")</f>
        <v>pass</v>
      </c>
    </row>
    <row r="7" spans="1:20" x14ac:dyDescent="0.3">
      <c r="P7" t="str">
        <f>IF(AND(C6&gt;=40,D6&gt;=40,E6&gt;=40,F6&gt;=40,G6&gt;=40),"pass","fail")</f>
        <v>fail</v>
      </c>
    </row>
    <row r="8" spans="1:20" x14ac:dyDescent="0.3">
      <c r="O8" t="s">
        <v>14</v>
      </c>
    </row>
    <row r="9" spans="1:20" x14ac:dyDescent="0.3">
      <c r="O9" t="s">
        <v>15</v>
      </c>
      <c r="R9" t="s">
        <v>19</v>
      </c>
    </row>
    <row r="10" spans="1:20" x14ac:dyDescent="0.3">
      <c r="O10" t="s">
        <v>16</v>
      </c>
    </row>
    <row r="11" spans="1:20" x14ac:dyDescent="0.3">
      <c r="O11" t="s">
        <v>17</v>
      </c>
    </row>
  </sheetData>
  <mergeCells count="1">
    <mergeCell ref="A1:T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BB0E-22A3-45C0-8BE4-2466F6022606}">
  <dimension ref="A1:V26"/>
  <sheetViews>
    <sheetView workbookViewId="0">
      <selection activeCell="G11" sqref="G11"/>
    </sheetView>
  </sheetViews>
  <sheetFormatPr defaultRowHeight="14.4" x14ac:dyDescent="0.3"/>
  <cols>
    <col min="1" max="1" width="29.109375" customWidth="1"/>
    <col min="2" max="2" width="22.77734375" customWidth="1"/>
    <col min="6" max="6" width="26.77734375" customWidth="1"/>
    <col min="7" max="7" width="37.33203125" bestFit="1" customWidth="1"/>
    <col min="8" max="8" width="16.88671875" customWidth="1"/>
  </cols>
  <sheetData>
    <row r="1" spans="1:22" x14ac:dyDescent="0.3">
      <c r="A1" s="3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9" spans="1:22" x14ac:dyDescent="0.3">
      <c r="A9" t="s">
        <v>21</v>
      </c>
      <c r="B9" t="s">
        <v>22</v>
      </c>
      <c r="C9" t="s">
        <v>23</v>
      </c>
      <c r="D9" t="s">
        <v>24</v>
      </c>
      <c r="E9" t="s">
        <v>32</v>
      </c>
      <c r="F9" t="s">
        <v>25</v>
      </c>
      <c r="G9" t="s">
        <v>26</v>
      </c>
      <c r="H9" t="s">
        <v>27</v>
      </c>
    </row>
    <row r="10" spans="1:22" x14ac:dyDescent="0.3">
      <c r="A10">
        <v>101</v>
      </c>
      <c r="B10">
        <v>200</v>
      </c>
      <c r="C10">
        <v>5</v>
      </c>
      <c r="D10" t="s">
        <v>28</v>
      </c>
      <c r="E10" t="s">
        <v>33</v>
      </c>
      <c r="F10">
        <f>SUM(B10*C10)</f>
        <v>1000</v>
      </c>
      <c r="G10">
        <f>IF(E10="student",F10*5%,IF(E10="teacher",F10*10%,IF(E10="staff",F10*15%)))</f>
        <v>50</v>
      </c>
    </row>
    <row r="11" spans="1:22" x14ac:dyDescent="0.3">
      <c r="A11">
        <v>102</v>
      </c>
      <c r="B11">
        <v>2600</v>
      </c>
      <c r="C11">
        <v>9</v>
      </c>
      <c r="D11" t="s">
        <v>29</v>
      </c>
      <c r="E11" t="s">
        <v>34</v>
      </c>
      <c r="F11">
        <f>SUM(B11*C11)</f>
        <v>23400</v>
      </c>
      <c r="G11">
        <f t="shared" ref="G11:G12" si="0">IF(E11="student",F11*5%,IF(E11="teacher",F11*10%,IF(E11="staff",F11*15%)))</f>
        <v>2340</v>
      </c>
    </row>
    <row r="12" spans="1:22" x14ac:dyDescent="0.3">
      <c r="A12">
        <v>103</v>
      </c>
      <c r="B12">
        <v>1700</v>
      </c>
      <c r="C12">
        <v>7</v>
      </c>
      <c r="E12" t="s">
        <v>35</v>
      </c>
      <c r="F12">
        <f>SUM(B12*C12)</f>
        <v>11900</v>
      </c>
      <c r="G12">
        <f t="shared" si="0"/>
        <v>1785</v>
      </c>
    </row>
    <row r="13" spans="1:22" x14ac:dyDescent="0.3">
      <c r="E13" t="s">
        <v>34</v>
      </c>
    </row>
    <row r="14" spans="1:22" x14ac:dyDescent="0.3">
      <c r="E14" t="s">
        <v>35</v>
      </c>
    </row>
    <row r="15" spans="1:22" x14ac:dyDescent="0.3">
      <c r="E15" t="s">
        <v>33</v>
      </c>
    </row>
    <row r="16" spans="1:22" x14ac:dyDescent="0.3">
      <c r="E16" t="s">
        <v>34</v>
      </c>
      <c r="G16" t="s">
        <v>30</v>
      </c>
    </row>
    <row r="17" spans="1:7" x14ac:dyDescent="0.3">
      <c r="E17" t="s">
        <v>33</v>
      </c>
      <c r="G17" t="s">
        <v>31</v>
      </c>
    </row>
    <row r="19" spans="1:7" x14ac:dyDescent="0.3">
      <c r="A19">
        <v>109</v>
      </c>
      <c r="B19">
        <v>30</v>
      </c>
      <c r="C19">
        <v>10</v>
      </c>
      <c r="F19">
        <f>SUM(B19*C19)</f>
        <v>300</v>
      </c>
      <c r="G19">
        <f>IF(F19&lt;=500,F19*5%,F19*10%)</f>
        <v>15</v>
      </c>
    </row>
    <row r="24" spans="1:7" x14ac:dyDescent="0.3">
      <c r="E24" t="s">
        <v>33</v>
      </c>
      <c r="F24" s="4">
        <v>0.05</v>
      </c>
    </row>
    <row r="25" spans="1:7" x14ac:dyDescent="0.3">
      <c r="E25" t="s">
        <v>34</v>
      </c>
      <c r="F25" s="4">
        <v>0.1</v>
      </c>
    </row>
    <row r="26" spans="1:7" x14ac:dyDescent="0.3">
      <c r="E26" t="s">
        <v>35</v>
      </c>
      <c r="F26" s="4">
        <v>0.15</v>
      </c>
    </row>
  </sheetData>
  <mergeCells count="1">
    <mergeCell ref="A1:V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2224-01AC-4012-864E-AE58557595CA}">
  <dimension ref="A2:V57"/>
  <sheetViews>
    <sheetView tabSelected="1" workbookViewId="0">
      <selection activeCell="L58" sqref="L58"/>
    </sheetView>
  </sheetViews>
  <sheetFormatPr defaultRowHeight="14.4" x14ac:dyDescent="0.3"/>
  <cols>
    <col min="5" max="5" width="24.6640625" bestFit="1" customWidth="1"/>
    <col min="6" max="6" width="24.6640625" customWidth="1"/>
    <col min="7" max="7" width="21.33203125" bestFit="1" customWidth="1"/>
    <col min="8" max="8" width="23.77734375" bestFit="1" customWidth="1"/>
    <col min="10" max="10" width="22.33203125" bestFit="1" customWidth="1"/>
    <col min="11" max="11" width="22.33203125" customWidth="1"/>
    <col min="12" max="12" width="17.44140625" bestFit="1" customWidth="1"/>
  </cols>
  <sheetData>
    <row r="2" spans="1:22" x14ac:dyDescent="0.3">
      <c r="A2" s="5" t="s">
        <v>36</v>
      </c>
      <c r="B2" s="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">
      <c r="A10" t="s">
        <v>37</v>
      </c>
      <c r="B10" t="s">
        <v>50</v>
      </c>
      <c r="C10" t="s">
        <v>39</v>
      </c>
      <c r="D10" t="s">
        <v>38</v>
      </c>
      <c r="E10" s="4" t="s">
        <v>41</v>
      </c>
      <c r="F10" s="4"/>
      <c r="G10" t="s">
        <v>45</v>
      </c>
      <c r="H10" t="s">
        <v>42</v>
      </c>
      <c r="I10" t="s">
        <v>43</v>
      </c>
      <c r="J10" t="s">
        <v>44</v>
      </c>
      <c r="L10" t="s">
        <v>46</v>
      </c>
    </row>
    <row r="11" spans="1:22" x14ac:dyDescent="0.3">
      <c r="A11">
        <v>101</v>
      </c>
      <c r="C11" t="s">
        <v>40</v>
      </c>
      <c r="D11">
        <v>2000</v>
      </c>
      <c r="E11">
        <f>D11*10%</f>
        <v>200</v>
      </c>
      <c r="G11">
        <f>D11*12%</f>
        <v>240</v>
      </c>
      <c r="H11">
        <f>D11*15%</f>
        <v>300</v>
      </c>
      <c r="I11">
        <f>D11*20%</f>
        <v>400</v>
      </c>
      <c r="J11">
        <f>SUM(D11:H11)</f>
        <v>2740</v>
      </c>
      <c r="L11">
        <f>SUM(J11-I11)</f>
        <v>2340</v>
      </c>
    </row>
    <row r="26" spans="1:22" x14ac:dyDescent="0.3">
      <c r="A26" s="5" t="s">
        <v>54</v>
      </c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">
      <c r="A34" t="s">
        <v>37</v>
      </c>
      <c r="B34" t="s">
        <v>50</v>
      </c>
      <c r="C34" t="s">
        <v>39</v>
      </c>
      <c r="D34" t="s">
        <v>38</v>
      </c>
      <c r="E34" s="4" t="s">
        <v>41</v>
      </c>
      <c r="F34" s="4"/>
      <c r="G34" t="s">
        <v>45</v>
      </c>
      <c r="H34" t="s">
        <v>42</v>
      </c>
      <c r="I34" t="s">
        <v>43</v>
      </c>
      <c r="J34" t="s">
        <v>44</v>
      </c>
      <c r="L34" t="s">
        <v>46</v>
      </c>
    </row>
    <row r="35" spans="1:22" x14ac:dyDescent="0.3">
      <c r="E35" t="s">
        <v>47</v>
      </c>
      <c r="G35" t="s">
        <v>48</v>
      </c>
      <c r="H35" t="s">
        <v>49</v>
      </c>
    </row>
    <row r="36" spans="1:22" x14ac:dyDescent="0.3">
      <c r="A36">
        <v>102</v>
      </c>
      <c r="B36" t="s">
        <v>51</v>
      </c>
      <c r="D36">
        <v>3000</v>
      </c>
      <c r="E36">
        <f>IF(D36&lt;=5000,D36*5%,D36*10%)</f>
        <v>150</v>
      </c>
      <c r="G36">
        <f>IF(B36="metro",D36*5%,D36*10%)</f>
        <v>150</v>
      </c>
      <c r="H36">
        <f>IF(D36&lt;=5000,500,D36*12%)</f>
        <v>500</v>
      </c>
      <c r="I36">
        <f>D36*20%</f>
        <v>600</v>
      </c>
      <c r="J36">
        <f>SUM(D36,E36,G36,H36)</f>
        <v>3800</v>
      </c>
      <c r="L36">
        <f>J36-I36</f>
        <v>3200</v>
      </c>
    </row>
    <row r="37" spans="1:22" x14ac:dyDescent="0.3">
      <c r="A37">
        <v>103</v>
      </c>
      <c r="B37" t="s">
        <v>52</v>
      </c>
      <c r="D37">
        <v>7000</v>
      </c>
      <c r="E37">
        <f>IF(D37&lt;=5000,D37*5%,D37*10%)</f>
        <v>700</v>
      </c>
      <c r="G37">
        <f>IF(B37="metro",D37*5%,D37*10%)</f>
        <v>700</v>
      </c>
      <c r="H37">
        <f>IF(D37&lt;=5000,500,D37*12%)</f>
        <v>840</v>
      </c>
      <c r="I37">
        <f>D37*20%</f>
        <v>1400</v>
      </c>
      <c r="J37">
        <f>SUM(D37,E37,G37,H37)</f>
        <v>9240</v>
      </c>
      <c r="L37">
        <f>J37-I37</f>
        <v>7840</v>
      </c>
    </row>
    <row r="47" spans="1:22" x14ac:dyDescent="0.3">
      <c r="A47" s="5" t="s">
        <v>53</v>
      </c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">
      <c r="A55" t="s">
        <v>37</v>
      </c>
      <c r="B55" t="s">
        <v>50</v>
      </c>
      <c r="C55" t="s">
        <v>39</v>
      </c>
      <c r="D55" t="s">
        <v>38</v>
      </c>
      <c r="E55" s="4" t="s">
        <v>41</v>
      </c>
      <c r="F55" s="4" t="s">
        <v>55</v>
      </c>
      <c r="G55" t="s">
        <v>45</v>
      </c>
      <c r="H55" t="s">
        <v>42</v>
      </c>
      <c r="I55" t="s">
        <v>43</v>
      </c>
      <c r="J55" t="s">
        <v>44</v>
      </c>
      <c r="K55" t="s">
        <v>57</v>
      </c>
      <c r="L55" t="s">
        <v>46</v>
      </c>
    </row>
    <row r="56" spans="1:22" x14ac:dyDescent="0.3">
      <c r="A56">
        <v>105</v>
      </c>
      <c r="C56" t="s">
        <v>56</v>
      </c>
      <c r="D56">
        <v>2000</v>
      </c>
      <c r="E56">
        <f>D56*10%</f>
        <v>200</v>
      </c>
      <c r="F56">
        <v>5</v>
      </c>
      <c r="G56">
        <f>D56*12%</f>
        <v>240</v>
      </c>
      <c r="H56">
        <f>D56*15%</f>
        <v>300</v>
      </c>
      <c r="I56">
        <f>D56*20%</f>
        <v>400</v>
      </c>
      <c r="J56">
        <f>SUM(D56,E56,G56,H56)</f>
        <v>2740</v>
      </c>
      <c r="K56">
        <f>J56/30*5</f>
        <v>456.66666666666663</v>
      </c>
      <c r="L56">
        <f>J56-(K56+I56)</f>
        <v>1883.3333333333335</v>
      </c>
    </row>
    <row r="57" spans="1:22" x14ac:dyDescent="0.3">
      <c r="A57">
        <v>103</v>
      </c>
      <c r="C57" t="s">
        <v>56</v>
      </c>
      <c r="D57">
        <v>4000</v>
      </c>
      <c r="E57">
        <f>D57*10%</f>
        <v>400</v>
      </c>
      <c r="F57">
        <v>5</v>
      </c>
      <c r="G57">
        <f>D57*12%</f>
        <v>480</v>
      </c>
      <c r="H57">
        <f>D57*15%</f>
        <v>600</v>
      </c>
      <c r="I57">
        <f>D57*20%</f>
        <v>800</v>
      </c>
      <c r="J57">
        <f>SUM(D57,E57,G57,H57)</f>
        <v>5480</v>
      </c>
      <c r="K57">
        <f>5480/30*5</f>
        <v>913.33333333333326</v>
      </c>
      <c r="L57">
        <f>5480-(K57+I57)</f>
        <v>3766.666666666667</v>
      </c>
    </row>
  </sheetData>
  <mergeCells count="3">
    <mergeCell ref="A2:V9"/>
    <mergeCell ref="A26:V33"/>
    <mergeCell ref="A47:V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E811-B5D2-4E2B-9917-5A7639FC3514}">
  <dimension ref="A1:K35"/>
  <sheetViews>
    <sheetView workbookViewId="0">
      <selection activeCell="J34" sqref="J34"/>
    </sheetView>
  </sheetViews>
  <sheetFormatPr defaultRowHeight="14.4" x14ac:dyDescent="0.3"/>
  <cols>
    <col min="1" max="1" width="11.21875" bestFit="1" customWidth="1"/>
    <col min="2" max="2" width="21.109375" bestFit="1" customWidth="1"/>
    <col min="7" max="7" width="31.33203125" bestFit="1" customWidth="1"/>
    <col min="10" max="10" width="23.21875" bestFit="1" customWidth="1"/>
  </cols>
  <sheetData>
    <row r="1" spans="1:10" x14ac:dyDescent="0.3">
      <c r="A1" t="s">
        <v>58</v>
      </c>
      <c r="B1" t="s">
        <v>58</v>
      </c>
    </row>
    <row r="2" spans="1:10" x14ac:dyDescent="0.3">
      <c r="A2" t="s">
        <v>59</v>
      </c>
      <c r="B2" t="s">
        <v>59</v>
      </c>
    </row>
    <row r="3" spans="1:10" x14ac:dyDescent="0.3">
      <c r="A3">
        <v>200</v>
      </c>
      <c r="B3">
        <v>200</v>
      </c>
    </row>
    <row r="4" spans="1:10" x14ac:dyDescent="0.3">
      <c r="A4" t="s">
        <v>60</v>
      </c>
      <c r="B4" t="s">
        <v>60</v>
      </c>
    </row>
    <row r="5" spans="1:10" x14ac:dyDescent="0.3">
      <c r="A5">
        <v>400</v>
      </c>
      <c r="B5">
        <v>400</v>
      </c>
    </row>
    <row r="6" spans="1:10" x14ac:dyDescent="0.3">
      <c r="A6" t="s">
        <v>61</v>
      </c>
      <c r="B6" t="s">
        <v>61</v>
      </c>
    </row>
    <row r="7" spans="1:10" x14ac:dyDescent="0.3">
      <c r="A7">
        <v>200</v>
      </c>
      <c r="B7">
        <v>200</v>
      </c>
    </row>
    <row r="8" spans="1:10" x14ac:dyDescent="0.3">
      <c r="A8">
        <f>COUNT(A1:A7)</f>
        <v>3</v>
      </c>
      <c r="B8">
        <f>COUNTA(B1:B7)</f>
        <v>7</v>
      </c>
    </row>
    <row r="9" spans="1:10" x14ac:dyDescent="0.3">
      <c r="A9" t="s">
        <v>62</v>
      </c>
      <c r="B9" t="s">
        <v>63</v>
      </c>
    </row>
    <row r="11" spans="1:10" x14ac:dyDescent="0.3">
      <c r="J11" t="s">
        <v>70</v>
      </c>
    </row>
    <row r="12" spans="1:10" x14ac:dyDescent="0.3">
      <c r="A12" t="s">
        <v>64</v>
      </c>
      <c r="G12" t="s">
        <v>68</v>
      </c>
      <c r="J12" t="s">
        <v>72</v>
      </c>
    </row>
    <row r="13" spans="1:10" x14ac:dyDescent="0.3">
      <c r="A13">
        <v>2000</v>
      </c>
      <c r="G13">
        <v>30</v>
      </c>
      <c r="J13" t="s">
        <v>73</v>
      </c>
    </row>
    <row r="14" spans="1:10" x14ac:dyDescent="0.3">
      <c r="A14">
        <v>4000</v>
      </c>
      <c r="G14">
        <v>50</v>
      </c>
      <c r="J14" t="s">
        <v>71</v>
      </c>
    </row>
    <row r="15" spans="1:10" x14ac:dyDescent="0.3">
      <c r="A15">
        <v>60000</v>
      </c>
      <c r="G15">
        <v>70</v>
      </c>
      <c r="J15" t="s">
        <v>72</v>
      </c>
    </row>
    <row r="16" spans="1:10" x14ac:dyDescent="0.3">
      <c r="A16">
        <v>10000</v>
      </c>
      <c r="G16">
        <v>20</v>
      </c>
      <c r="J16" t="s">
        <v>73</v>
      </c>
    </row>
    <row r="17" spans="1:11" x14ac:dyDescent="0.3">
      <c r="A17">
        <v>7000</v>
      </c>
      <c r="G17">
        <v>40</v>
      </c>
      <c r="J17" t="s">
        <v>73</v>
      </c>
    </row>
    <row r="18" spans="1:11" x14ac:dyDescent="0.3">
      <c r="A18">
        <v>9000</v>
      </c>
      <c r="G18">
        <v>10</v>
      </c>
      <c r="J18" t="s">
        <v>73</v>
      </c>
    </row>
    <row r="19" spans="1:11" x14ac:dyDescent="0.3">
      <c r="A19" t="s">
        <v>65</v>
      </c>
      <c r="B19" t="s">
        <v>66</v>
      </c>
      <c r="C19" t="s">
        <v>67</v>
      </c>
      <c r="G19">
        <v>70</v>
      </c>
      <c r="J19" t="s">
        <v>73</v>
      </c>
    </row>
    <row r="20" spans="1:11" x14ac:dyDescent="0.3">
      <c r="A20">
        <f>COUNTIF(A13:A18,"&gt;4000")</f>
        <v>4</v>
      </c>
      <c r="B20">
        <f>COUNTIF(A13:A18,"&lt;4000")</f>
        <v>1</v>
      </c>
      <c r="C20">
        <f>COUNTIF(A13:A18,"&gt;=7000")</f>
        <v>4</v>
      </c>
      <c r="G20" t="s">
        <v>69</v>
      </c>
      <c r="J20" t="s">
        <v>73</v>
      </c>
    </row>
    <row r="21" spans="1:11" x14ac:dyDescent="0.3">
      <c r="G21">
        <f>COUNTIF(G13:G19,"&gt;=40")</f>
        <v>4</v>
      </c>
      <c r="J21" t="s">
        <v>72</v>
      </c>
    </row>
    <row r="22" spans="1:11" x14ac:dyDescent="0.3">
      <c r="J22" t="s">
        <v>72</v>
      </c>
    </row>
    <row r="23" spans="1:11" x14ac:dyDescent="0.3">
      <c r="J23" t="s">
        <v>74</v>
      </c>
      <c r="K23">
        <f>COUNTIF(J12:J22,"P")</f>
        <v>4</v>
      </c>
    </row>
    <row r="24" spans="1:11" x14ac:dyDescent="0.3">
      <c r="J24" t="s">
        <v>75</v>
      </c>
      <c r="K24">
        <f>COUNTIF(J12:J22,"A")</f>
        <v>6</v>
      </c>
    </row>
    <row r="26" spans="1:11" x14ac:dyDescent="0.3">
      <c r="A26" t="s">
        <v>76</v>
      </c>
      <c r="B26" t="s">
        <v>77</v>
      </c>
      <c r="D26" t="s">
        <v>81</v>
      </c>
      <c r="E26" t="s">
        <v>82</v>
      </c>
      <c r="J26" t="s">
        <v>87</v>
      </c>
      <c r="K26" t="s">
        <v>91</v>
      </c>
    </row>
    <row r="27" spans="1:11" x14ac:dyDescent="0.3">
      <c r="A27">
        <v>20</v>
      </c>
      <c r="B27" t="s">
        <v>78</v>
      </c>
      <c r="D27">
        <v>78</v>
      </c>
      <c r="E27" t="s">
        <v>83</v>
      </c>
      <c r="J27" t="s">
        <v>88</v>
      </c>
      <c r="K27">
        <v>2</v>
      </c>
    </row>
    <row r="28" spans="1:11" x14ac:dyDescent="0.3">
      <c r="A28">
        <v>12</v>
      </c>
      <c r="B28" t="s">
        <v>79</v>
      </c>
      <c r="D28">
        <v>54</v>
      </c>
      <c r="E28" t="s">
        <v>83</v>
      </c>
      <c r="J28" t="s">
        <v>89</v>
      </c>
      <c r="K28">
        <v>3</v>
      </c>
    </row>
    <row r="29" spans="1:11" x14ac:dyDescent="0.3">
      <c r="A29">
        <v>32</v>
      </c>
      <c r="B29" t="s">
        <v>78</v>
      </c>
      <c r="D29">
        <v>69</v>
      </c>
      <c r="E29" t="s">
        <v>84</v>
      </c>
      <c r="J29" t="s">
        <v>90</v>
      </c>
      <c r="K29">
        <v>4</v>
      </c>
    </row>
    <row r="30" spans="1:11" x14ac:dyDescent="0.3">
      <c r="A30">
        <v>18</v>
      </c>
      <c r="B30" t="s">
        <v>79</v>
      </c>
      <c r="D30">
        <v>75</v>
      </c>
      <c r="E30" t="s">
        <v>83</v>
      </c>
    </row>
    <row r="31" spans="1:11" x14ac:dyDescent="0.3">
      <c r="A31">
        <v>12</v>
      </c>
      <c r="B31" t="s">
        <v>79</v>
      </c>
      <c r="D31">
        <v>40</v>
      </c>
      <c r="E31" t="s">
        <v>84</v>
      </c>
    </row>
    <row r="32" spans="1:11" x14ac:dyDescent="0.3">
      <c r="D32">
        <v>30</v>
      </c>
      <c r="E32" t="s">
        <v>83</v>
      </c>
      <c r="J32" t="s">
        <v>92</v>
      </c>
    </row>
    <row r="33" spans="1:10" x14ac:dyDescent="0.3">
      <c r="A33" t="s">
        <v>80</v>
      </c>
      <c r="B33">
        <f>COUNTIFS(B27:B31,"female",A27:A31,"&gt;=18")</f>
        <v>2</v>
      </c>
      <c r="D33">
        <v>25</v>
      </c>
      <c r="E33" t="s">
        <v>84</v>
      </c>
      <c r="J33">
        <f>COUNTIFS(J27:J29,"admin",K27:K29,"&gt;=4")</f>
        <v>0</v>
      </c>
    </row>
    <row r="34" spans="1:10" x14ac:dyDescent="0.3">
      <c r="D34">
        <v>46</v>
      </c>
      <c r="E34" t="s">
        <v>84</v>
      </c>
    </row>
    <row r="35" spans="1:10" x14ac:dyDescent="0.3">
      <c r="D35" t="s">
        <v>85</v>
      </c>
      <c r="E35">
        <f>COUNTIFS(E27:E34,"boy",D27:D34,"&gt;=50")</f>
        <v>3</v>
      </c>
      <c r="F35" t="s">
        <v>86</v>
      </c>
      <c r="G35">
        <f>COUNTIFS(E27:E34,"girl",D27:D34,"&gt;=40")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sum,avg,max,min, if,And, or</vt:lpstr>
      <vt:lpstr>Sheet2</vt:lpstr>
      <vt:lpstr>Sheet3</vt:lpstr>
      <vt:lpstr>count,countA, counti , countifs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MUSTANSIR HUSSAIN</dc:creator>
  <cp:lastModifiedBy>MUSTANSIR HUSSAIN</cp:lastModifiedBy>
  <dcterms:created xsi:type="dcterms:W3CDTF">2026-09-07T03:31:05Z</dcterms:created>
  <dcterms:modified xsi:type="dcterms:W3CDTF">2026-09-07T07:49:02Z</dcterms:modified>
</cp:coreProperties>
</file>