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sta\Downloads\"/>
    </mc:Choice>
  </mc:AlternateContent>
  <xr:revisionPtr revIDLastSave="0" documentId="13_ncr:1_{7131CE74-3A8D-4A3B-AADA-F8076CDAB1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D38" i="1"/>
  <c r="D36" i="1"/>
  <c r="D34" i="1"/>
  <c r="D33" i="1"/>
  <c r="J8" i="1"/>
  <c r="J7" i="1"/>
  <c r="J6" i="1"/>
  <c r="J5" i="1"/>
  <c r="J4" i="1"/>
  <c r="I8" i="1"/>
  <c r="I7" i="1"/>
  <c r="I6" i="1"/>
  <c r="I5" i="1"/>
  <c r="I4" i="1"/>
  <c r="D30" i="1"/>
  <c r="D29" i="1"/>
  <c r="D28" i="1"/>
  <c r="D27" i="1"/>
  <c r="D24" i="1"/>
  <c r="D23" i="1"/>
  <c r="D22" i="1"/>
  <c r="D37" i="1"/>
  <c r="D25" i="1"/>
  <c r="D21" i="1"/>
</calcChain>
</file>

<file path=xl/sharedStrings.xml><?xml version="1.0" encoding="utf-8"?>
<sst xmlns="http://schemas.openxmlformats.org/spreadsheetml/2006/main" count="196" uniqueCount="129">
  <si>
    <t>Global Tech Retailers - Sales Transactions Log</t>
  </si>
  <si>
    <t>Txn_ID</t>
  </si>
  <si>
    <t>Date</t>
  </si>
  <si>
    <t>Product_ID</t>
  </si>
  <si>
    <t>Region</t>
  </si>
  <si>
    <t>Sales_Rep</t>
  </si>
  <si>
    <t>Units_Sold</t>
  </si>
  <si>
    <t>Unit_Price</t>
  </si>
  <si>
    <t>Customer_Rating</t>
  </si>
  <si>
    <t>Product_Name (Task 5)</t>
  </si>
  <si>
    <t>Discount_Rate (Task 6)</t>
  </si>
  <si>
    <t>TXN-101</t>
  </si>
  <si>
    <t>2026-01-05</t>
  </si>
  <si>
    <t>P-01</t>
  </si>
  <si>
    <t>North</t>
  </si>
  <si>
    <t>Sarah</t>
  </si>
  <si>
    <t>[Enter VLOOKUP]</t>
  </si>
  <si>
    <t>[Enter HLOOKUP]</t>
  </si>
  <si>
    <t>TXN-102</t>
  </si>
  <si>
    <t>2026-01-07</t>
  </si>
  <si>
    <t>P-02</t>
  </si>
  <si>
    <t>East</t>
  </si>
  <si>
    <t>Raj</t>
  </si>
  <si>
    <t>TXN-103</t>
  </si>
  <si>
    <t>2026-01-10</t>
  </si>
  <si>
    <t>P-03</t>
  </si>
  <si>
    <t>TXN-104</t>
  </si>
  <si>
    <t>2026-01-12</t>
  </si>
  <si>
    <t>West</t>
  </si>
  <si>
    <t>Amit</t>
  </si>
  <si>
    <t>TXN-105</t>
  </si>
  <si>
    <t>2026-01-15</t>
  </si>
  <si>
    <t>P-04</t>
  </si>
  <si>
    <t>South</t>
  </si>
  <si>
    <t>Priya</t>
  </si>
  <si>
    <t>TXN-106</t>
  </si>
  <si>
    <t>2026-01-18</t>
  </si>
  <si>
    <t>TXN-107</t>
  </si>
  <si>
    <t>2026-01-20</t>
  </si>
  <si>
    <t>P-05</t>
  </si>
  <si>
    <t>TXN-108</t>
  </si>
  <si>
    <t>2026-01-22</t>
  </si>
  <si>
    <t>TXN-109</t>
  </si>
  <si>
    <t>2026-01-25</t>
  </si>
  <si>
    <t>TXN-110</t>
  </si>
  <si>
    <t>2026-01-28</t>
  </si>
  <si>
    <t>Product Reference Catalog &amp; Discount Schedules</t>
  </si>
  <si>
    <t>Category</t>
  </si>
  <si>
    <t>Product_Name</t>
  </si>
  <si>
    <t>Supplier</t>
  </si>
  <si>
    <t>Electronics</t>
  </si>
  <si>
    <t>Laptop Pro</t>
  </si>
  <si>
    <t>TechCorp</t>
  </si>
  <si>
    <t>Tablet Air</t>
  </si>
  <si>
    <t>PadMaker</t>
  </si>
  <si>
    <t>Accessories</t>
  </si>
  <si>
    <t>Wireless Mouse</t>
  </si>
  <si>
    <t>LogiGear</t>
  </si>
  <si>
    <t>USB Cable</t>
  </si>
  <si>
    <t>CableMax</t>
  </si>
  <si>
    <t>Office</t>
  </si>
  <si>
    <t>Ergonomic Chair</t>
  </si>
  <si>
    <t>ComfortPlus</t>
  </si>
  <si>
    <t>Table B: Volume Discount Matrix (Horizontal)</t>
  </si>
  <si>
    <t>Discount Rate</t>
  </si>
  <si>
    <t>Excel Aggregate &amp; Lookup Function Practice Assignment</t>
  </si>
  <si>
    <t>Task ID</t>
  </si>
  <si>
    <t>Category / Topic</t>
  </si>
  <si>
    <t>Task Question / Objective</t>
  </si>
  <si>
    <t>Your Formula Here</t>
  </si>
  <si>
    <t>Expected Output</t>
  </si>
  <si>
    <t>Task 1A</t>
  </si>
  <si>
    <t>Counting Functions</t>
  </si>
  <si>
    <t>Count the total number of numeric entries in Units_Sold column.</t>
  </si>
  <si>
    <t>Task 1B</t>
  </si>
  <si>
    <t>Count total non-empty transactions in Txn_ID column.</t>
  </si>
  <si>
    <t>Task 1C</t>
  </si>
  <si>
    <t>Count how many transactions have missing (blank) Customer_Rating.</t>
  </si>
  <si>
    <t>Task 2A</t>
  </si>
  <si>
    <t>Conditional Counting</t>
  </si>
  <si>
    <t>Count how many transactions were completed by sales rep 'Sarah'.</t>
  </si>
  <si>
    <t>Task 2B</t>
  </si>
  <si>
    <t>Count transactions in 'North' region where Units_Sold is greater than 5.</t>
  </si>
  <si>
    <t>Task 3A</t>
  </si>
  <si>
    <t>Aggregations &amp; Math</t>
  </si>
  <si>
    <t>Calculate the overall average Units_Sold across all recorded sales.</t>
  </si>
  <si>
    <t>Task 3B</t>
  </si>
  <si>
    <t>Calculate total Units_Sold only for Product_ID 'P-01'.</t>
  </si>
  <si>
    <t>Task 3C</t>
  </si>
  <si>
    <t>Calculate total Units_Sold by 'Amit' in the 'West' region.</t>
  </si>
  <si>
    <t>Task 4A</t>
  </si>
  <si>
    <t>Target Averages</t>
  </si>
  <si>
    <t>Calculate average Customer_Rating for the 'North' region.</t>
  </si>
  <si>
    <t>Task 4B</t>
  </si>
  <si>
    <t>Calculate average Units_Sold by 'Sarah' for transactions with Customer_Rating &gt;= 4.</t>
  </si>
  <si>
    <t>Task 5</t>
  </si>
  <si>
    <t>Vertical Lookups</t>
  </si>
  <si>
    <t>Populate Product_Name in Sales_Data column I using VLOOKUP.</t>
  </si>
  <si>
    <t>See Column I in Sales_Data</t>
  </si>
  <si>
    <t>Task 6</t>
  </si>
  <si>
    <t>Horizontal Lookups</t>
  </si>
  <si>
    <t>Populate Discount_Rate in Sales_Data column J using HLOOKUP.</t>
  </si>
  <si>
    <t>See Column J in Sales_Data</t>
  </si>
  <si>
    <t>Task 7</t>
  </si>
  <si>
    <t>INDEX &amp; MATCH</t>
  </si>
  <si>
    <t>Write a 2-way INDEX+MATCH to dynamically find Supplier for Product ID 'P-03'.</t>
  </si>
  <si>
    <t>Task 8</t>
  </si>
  <si>
    <t>Reverse INDEX &amp; MATCH</t>
  </si>
  <si>
    <t>Look up Product_ID where Product_Name is 'Ergonomic Chair' (Left Lookup).</t>
  </si>
  <si>
    <t>Task 9A</t>
  </si>
  <si>
    <t>Advanced Aggregations</t>
  </si>
  <si>
    <t>Calculate total sales revenue (Units_Sold * Unit_Price) for the 'North' region only.</t>
  </si>
  <si>
    <t>$15,390</t>
  </si>
  <si>
    <t>Task 9B</t>
  </si>
  <si>
    <t>Calculate the average Customer_Rating ignoring all blank ratings and ratings equal to 1.</t>
  </si>
  <si>
    <t>4.25</t>
  </si>
  <si>
    <t>Task 10A</t>
  </si>
  <si>
    <t>Dynamic Lookups</t>
  </si>
  <si>
    <t>Use INDEX + MATCH to find the Sales Rep who made the single highest unit sale.</t>
  </si>
  <si>
    <t>Task 10B</t>
  </si>
  <si>
    <t>Use INDEX + MATCH to find the Date of transaction 'TXN-108'.</t>
  </si>
  <si>
    <t>Task 11A</t>
  </si>
  <si>
    <t>Error Handling &amp; Logic</t>
  </si>
  <si>
    <t>Write a formula using IF + ISBLANK to return 'Incomplete' if Units_Sold is blank, else 'Complete' for row TXN-103.</t>
  </si>
  <si>
    <t>Incomplete</t>
  </si>
  <si>
    <t>Task 11B</t>
  </si>
  <si>
    <t>Write a VLOOKUP wrapped in IFERROR to look up Product ID 'P-99' (which doesn't exist) and return 'Not Found'.</t>
  </si>
  <si>
    <t>Not Found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</si>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</sst>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1"/>
      <color rgb="FFFFFFFF"/>
      <name val="Calibri"/>
    </font>
    <font>
      <sz val="11"/>
      <name val="Calibri"/>
    </font>
    <font>
      <i/>
      <sz val="10"/>
      <color rgb="FF595959"/>
      <name val="Calibri"/>
    </font>
    <font>
      <b/>
      <sz val="13"/>
      <color rgb="FF1F4E79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5" fillId="0" borderId="0" xfId="0" applyFont="1"/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3" fontId="3" fillId="6" borderId="1" xfId="0" applyNumberFormat="1" applyFont="1" applyFill="1" applyBorder="1" applyAlignment="1">
      <alignment horizontal="left" vertical="center"/>
    </xf>
    <xf numFmtId="9" fontId="4" fillId="0" borderId="1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topLeftCell="B1" zoomScale="90" zoomScaleNormal="90" workbookViewId="0">
      <selection activeCell="D40" sqref="D40"/>
    </sheetView>
  </sheetViews>
  <sheetFormatPr defaultRowHeight="14.4" x14ac:dyDescent="0.3"/>
  <cols>
    <col min="1" max="1" width="72.33203125" bestFit="1" customWidth="1"/>
    <col min="2" max="2" width="22.6640625" bestFit="1" customWidth="1"/>
    <col min="3" max="3" width="100.21875" bestFit="1" customWidth="1"/>
    <col min="4" max="4" width="17.77734375" bestFit="1" customWidth="1"/>
    <col min="5" max="5" width="25.21875" bestFit="1" customWidth="1"/>
    <col min="6" max="7" width="14" customWidth="1"/>
    <col min="8" max="8" width="19" customWidth="1"/>
    <col min="9" max="9" width="25" customWidth="1"/>
    <col min="10" max="10" width="26" customWidth="1"/>
  </cols>
  <sheetData>
    <row r="1" spans="1:10" ht="21" x14ac:dyDescent="0.4">
      <c r="A1" s="20" t="s">
        <v>0</v>
      </c>
      <c r="B1" s="21"/>
      <c r="C1" s="21"/>
      <c r="D1" s="21"/>
      <c r="E1" s="21"/>
      <c r="F1" s="21"/>
      <c r="G1" s="21"/>
      <c r="H1" s="21"/>
      <c r="I1" s="21"/>
    </row>
    <row r="3" spans="1:10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3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4">
        <v>12</v>
      </c>
      <c r="G4" s="5">
        <v>1200</v>
      </c>
      <c r="H4" s="4">
        <v>5</v>
      </c>
      <c r="I4" t="str">
        <f>VLOOKUP(C45,C45:F49,3,FALSE)</f>
        <v>Laptop Pro</v>
      </c>
      <c r="J4" s="23">
        <f>HLOOKUP(G17,F17:K18,2,FALSE)</f>
        <v>0.1</v>
      </c>
    </row>
    <row r="5" spans="1:10" x14ac:dyDescent="0.3">
      <c r="A5" s="7" t="s">
        <v>18</v>
      </c>
      <c r="B5" s="7" t="s">
        <v>19</v>
      </c>
      <c r="C5" s="7" t="s">
        <v>20</v>
      </c>
      <c r="D5" s="7" t="s">
        <v>21</v>
      </c>
      <c r="E5" s="7" t="s">
        <v>22</v>
      </c>
      <c r="F5" s="8">
        <v>5</v>
      </c>
      <c r="G5" s="9">
        <v>800</v>
      </c>
      <c r="H5" s="8">
        <v>4</v>
      </c>
      <c r="I5" t="str">
        <f>VLOOKUP(C46,C45:F49,3)</f>
        <v>Tablet Air</v>
      </c>
      <c r="J5" s="23">
        <f>HLOOKUP(H17,F17:K18,2,FALSE)</f>
        <v>0.05</v>
      </c>
    </row>
    <row r="6" spans="1:10" x14ac:dyDescent="0.3">
      <c r="A6" s="3" t="s">
        <v>23</v>
      </c>
      <c r="B6" s="3" t="s">
        <v>24</v>
      </c>
      <c r="C6" s="3" t="s">
        <v>25</v>
      </c>
      <c r="D6" s="3" t="s">
        <v>14</v>
      </c>
      <c r="E6" s="3" t="s">
        <v>15</v>
      </c>
      <c r="F6" s="10"/>
      <c r="G6" s="5">
        <v>150</v>
      </c>
      <c r="H6" s="4">
        <v>3</v>
      </c>
      <c r="I6" t="str">
        <f>VLOOKUP(C47,C45:F49,3,FALSE)</f>
        <v>Wireless Mouse</v>
      </c>
      <c r="J6" s="23">
        <f>HLOOKUP(I17,F17:K18,2,FALSE)</f>
        <v>0</v>
      </c>
    </row>
    <row r="7" spans="1:10" x14ac:dyDescent="0.3">
      <c r="A7" s="7" t="s">
        <v>26</v>
      </c>
      <c r="B7" s="7" t="s">
        <v>27</v>
      </c>
      <c r="C7" s="7" t="s">
        <v>13</v>
      </c>
      <c r="D7" s="7" t="s">
        <v>28</v>
      </c>
      <c r="E7" s="7" t="s">
        <v>29</v>
      </c>
      <c r="F7" s="8">
        <v>8</v>
      </c>
      <c r="G7" s="9">
        <v>1200</v>
      </c>
      <c r="H7" s="8">
        <v>5</v>
      </c>
      <c r="I7" t="str">
        <f>VLOOKUP(C48,C45:F49,3,FALSE)</f>
        <v>USB Cable</v>
      </c>
      <c r="J7" s="23">
        <f>HLOOKUP(J17,F17:K18,2,FALSE)</f>
        <v>0.02</v>
      </c>
    </row>
    <row r="8" spans="1:10" x14ac:dyDescent="0.3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4">
        <v>15</v>
      </c>
      <c r="G8" s="5">
        <v>45</v>
      </c>
      <c r="H8" s="10"/>
      <c r="I8" t="str">
        <f>VLOOKUP(C49,C45:F49,3,FALSE)</f>
        <v>Ergonomic Chair</v>
      </c>
      <c r="J8" s="23">
        <f>HLOOKUP(K17,F17:K18,2,FALSE)</f>
        <v>0.15</v>
      </c>
    </row>
    <row r="9" spans="1:10" x14ac:dyDescent="0.3">
      <c r="A9" s="7" t="s">
        <v>35</v>
      </c>
      <c r="B9" s="7" t="s">
        <v>36</v>
      </c>
      <c r="C9" s="7" t="s">
        <v>20</v>
      </c>
      <c r="D9" s="7" t="s">
        <v>14</v>
      </c>
      <c r="E9" s="7" t="s">
        <v>22</v>
      </c>
      <c r="F9" s="8">
        <v>2</v>
      </c>
      <c r="G9" s="9">
        <v>800</v>
      </c>
      <c r="H9" s="8">
        <v>2</v>
      </c>
      <c r="I9" s="6" t="s">
        <v>16</v>
      </c>
      <c r="J9" s="6" t="s">
        <v>17</v>
      </c>
    </row>
    <row r="10" spans="1:10" x14ac:dyDescent="0.3">
      <c r="A10" s="3" t="s">
        <v>37</v>
      </c>
      <c r="B10" s="3" t="s">
        <v>38</v>
      </c>
      <c r="C10" s="3" t="s">
        <v>39</v>
      </c>
      <c r="D10" s="3" t="s">
        <v>28</v>
      </c>
      <c r="E10" s="3" t="s">
        <v>29</v>
      </c>
      <c r="F10" s="4">
        <v>20</v>
      </c>
      <c r="G10" s="10"/>
      <c r="H10" s="4">
        <v>4</v>
      </c>
      <c r="I10" s="6" t="s">
        <v>16</v>
      </c>
      <c r="J10" s="6" t="s">
        <v>17</v>
      </c>
    </row>
    <row r="11" spans="1:10" x14ac:dyDescent="0.3">
      <c r="A11" s="7" t="s">
        <v>40</v>
      </c>
      <c r="B11" s="7" t="s">
        <v>41</v>
      </c>
      <c r="C11" s="7" t="s">
        <v>25</v>
      </c>
      <c r="D11" s="7" t="s">
        <v>33</v>
      </c>
      <c r="E11" s="7" t="s">
        <v>34</v>
      </c>
      <c r="F11" s="8">
        <v>10</v>
      </c>
      <c r="G11" s="9">
        <v>150</v>
      </c>
      <c r="H11" s="8">
        <v>5</v>
      </c>
      <c r="I11" s="6" t="s">
        <v>16</v>
      </c>
      <c r="J11" s="6" t="s">
        <v>17</v>
      </c>
    </row>
    <row r="12" spans="1:10" x14ac:dyDescent="0.3">
      <c r="A12" s="3" t="s">
        <v>42</v>
      </c>
      <c r="B12" s="3" t="s">
        <v>43</v>
      </c>
      <c r="C12" s="3" t="s">
        <v>13</v>
      </c>
      <c r="D12" s="3" t="s">
        <v>21</v>
      </c>
      <c r="E12" s="3" t="s">
        <v>15</v>
      </c>
      <c r="F12" s="4">
        <v>4</v>
      </c>
      <c r="G12" s="5">
        <v>1200</v>
      </c>
      <c r="H12" s="10"/>
      <c r="I12" s="6" t="s">
        <v>16</v>
      </c>
      <c r="J12" s="6" t="s">
        <v>17</v>
      </c>
    </row>
    <row r="13" spans="1:10" x14ac:dyDescent="0.3">
      <c r="A13" s="7" t="s">
        <v>44</v>
      </c>
      <c r="B13" s="7" t="s">
        <v>45</v>
      </c>
      <c r="C13" s="7" t="s">
        <v>32</v>
      </c>
      <c r="D13" s="7" t="s">
        <v>14</v>
      </c>
      <c r="E13" s="7" t="s">
        <v>22</v>
      </c>
      <c r="F13" s="8">
        <v>0</v>
      </c>
      <c r="G13" s="9">
        <v>45</v>
      </c>
      <c r="H13" s="8">
        <v>1</v>
      </c>
      <c r="I13" s="6" t="s">
        <v>16</v>
      </c>
      <c r="J13" s="6" t="s">
        <v>17</v>
      </c>
    </row>
    <row r="16" spans="1:10" ht="17.399999999999999" x14ac:dyDescent="0.35">
      <c r="F16" s="11" t="s">
        <v>63</v>
      </c>
    </row>
    <row r="17" spans="1:11" x14ac:dyDescent="0.3">
      <c r="F17" s="14" t="s">
        <v>3</v>
      </c>
      <c r="G17" s="15" t="s">
        <v>13</v>
      </c>
      <c r="H17" s="15" t="s">
        <v>20</v>
      </c>
      <c r="I17" s="15" t="s">
        <v>25</v>
      </c>
      <c r="J17" s="15" t="s">
        <v>32</v>
      </c>
      <c r="K17" s="15" t="s">
        <v>39</v>
      </c>
    </row>
    <row r="18" spans="1:11" ht="21" x14ac:dyDescent="0.4">
      <c r="A18" s="1" t="s">
        <v>65</v>
      </c>
      <c r="F18" s="14" t="s">
        <v>64</v>
      </c>
      <c r="G18" s="16">
        <v>0.1</v>
      </c>
      <c r="H18" s="16">
        <v>0.05</v>
      </c>
      <c r="I18" s="16">
        <v>0</v>
      </c>
      <c r="J18" s="16">
        <v>0.02</v>
      </c>
      <c r="K18" s="16">
        <v>0.15</v>
      </c>
    </row>
    <row r="20" spans="1:11" x14ac:dyDescent="0.3">
      <c r="A20" s="2" t="s">
        <v>66</v>
      </c>
      <c r="B20" s="2" t="s">
        <v>67</v>
      </c>
      <c r="C20" s="2" t="s">
        <v>68</v>
      </c>
      <c r="D20" s="2" t="s">
        <v>69</v>
      </c>
      <c r="E20" s="2" t="s">
        <v>70</v>
      </c>
    </row>
    <row r="21" spans="1:11" x14ac:dyDescent="0.3">
      <c r="A21" s="17" t="s">
        <v>71</v>
      </c>
      <c r="B21" s="13" t="s">
        <v>72</v>
      </c>
      <c r="C21" s="13" t="s">
        <v>73</v>
      </c>
      <c r="D21" s="18">
        <f>COUNT(F4:F13)</f>
        <v>9</v>
      </c>
      <c r="E21" s="17">
        <v>9</v>
      </c>
    </row>
    <row r="22" spans="1:11" x14ac:dyDescent="0.3">
      <c r="A22" s="19" t="s">
        <v>74</v>
      </c>
      <c r="B22" s="12" t="s">
        <v>72</v>
      </c>
      <c r="C22" s="12" t="s">
        <v>75</v>
      </c>
      <c r="D22" s="18">
        <f>COUNTA(A4:A13)</f>
        <v>10</v>
      </c>
      <c r="E22" s="19">
        <v>10</v>
      </c>
    </row>
    <row r="23" spans="1:11" x14ac:dyDescent="0.3">
      <c r="A23" s="17" t="s">
        <v>76</v>
      </c>
      <c r="B23" s="13" t="s">
        <v>72</v>
      </c>
      <c r="C23" s="13" t="s">
        <v>77</v>
      </c>
      <c r="D23" s="18">
        <f>COUNTBLANK(H4:H13)</f>
        <v>2</v>
      </c>
      <c r="E23" s="17">
        <v>2</v>
      </c>
    </row>
    <row r="24" spans="1:11" x14ac:dyDescent="0.3">
      <c r="A24" s="19" t="s">
        <v>78</v>
      </c>
      <c r="B24" s="12" t="s">
        <v>79</v>
      </c>
      <c r="C24" s="12" t="s">
        <v>80</v>
      </c>
      <c r="D24" s="18">
        <f>COUNTIF(E4:E13,"Sarah")</f>
        <v>3</v>
      </c>
      <c r="E24" s="19">
        <v>3</v>
      </c>
    </row>
    <row r="25" spans="1:11" x14ac:dyDescent="0.3">
      <c r="A25" s="17" t="s">
        <v>81</v>
      </c>
      <c r="B25" s="13" t="s">
        <v>79</v>
      </c>
      <c r="C25" s="13" t="s">
        <v>82</v>
      </c>
      <c r="D25" s="18">
        <f>COUNTIFS(D4:D13,"North",F4:F13,"&gt;5")</f>
        <v>1</v>
      </c>
      <c r="E25" s="17">
        <v>1</v>
      </c>
    </row>
    <row r="26" spans="1:11" x14ac:dyDescent="0.3">
      <c r="A26" s="19" t="s">
        <v>83</v>
      </c>
      <c r="B26" s="12" t="s">
        <v>84</v>
      </c>
      <c r="C26" s="12" t="s">
        <v>85</v>
      </c>
      <c r="D26" s="22"/>
      <c r="E26" s="19">
        <v>8.2200000000000006</v>
      </c>
    </row>
    <row r="27" spans="1:11" x14ac:dyDescent="0.3">
      <c r="A27" s="17" t="s">
        <v>86</v>
      </c>
      <c r="B27" s="13" t="s">
        <v>84</v>
      </c>
      <c r="C27" s="13" t="s">
        <v>87</v>
      </c>
      <c r="D27" s="18">
        <f>SUMIF(C4:C13,"P-01",F4:F13)</f>
        <v>24</v>
      </c>
      <c r="E27" s="17">
        <v>24</v>
      </c>
    </row>
    <row r="28" spans="1:11" x14ac:dyDescent="0.3">
      <c r="A28" s="19" t="s">
        <v>88</v>
      </c>
      <c r="B28" s="12" t="s">
        <v>84</v>
      </c>
      <c r="C28" s="12" t="s">
        <v>89</v>
      </c>
      <c r="D28" s="18">
        <f>SUMIFS(F4:F13,E4:E13,"Amit",D4:D13,"West")</f>
        <v>28</v>
      </c>
      <c r="E28" s="19">
        <v>28</v>
      </c>
    </row>
    <row r="29" spans="1:11" x14ac:dyDescent="0.3">
      <c r="A29" s="17" t="s">
        <v>90</v>
      </c>
      <c r="B29" s="13" t="s">
        <v>91</v>
      </c>
      <c r="C29" s="13" t="s">
        <v>92</v>
      </c>
      <c r="D29" s="18">
        <f>AVERAGEIF(D4:D13,"North",H4:H13)</f>
        <v>2.75</v>
      </c>
      <c r="E29" s="17">
        <v>3</v>
      </c>
    </row>
    <row r="30" spans="1:11" x14ac:dyDescent="0.3">
      <c r="A30" s="19" t="s">
        <v>93</v>
      </c>
      <c r="B30" s="12" t="s">
        <v>91</v>
      </c>
      <c r="C30" s="12" t="s">
        <v>94</v>
      </c>
      <c r="D30" s="18">
        <f>AVERAGEIFS(F4:F13,E4:E13,"Sarah",H4:H13,"&gt;=4")</f>
        <v>12</v>
      </c>
      <c r="E30" s="19">
        <v>8</v>
      </c>
    </row>
    <row r="31" spans="1:11" x14ac:dyDescent="0.3">
      <c r="A31" s="17" t="s">
        <v>95</v>
      </c>
      <c r="B31" s="13" t="s">
        <v>96</v>
      </c>
      <c r="C31" s="13" t="s">
        <v>97</v>
      </c>
      <c r="D31" s="18" t="s">
        <v>128</v>
      </c>
      <c r="E31" s="17" t="s">
        <v>98</v>
      </c>
    </row>
    <row r="32" spans="1:11" x14ac:dyDescent="0.3">
      <c r="A32" s="19" t="s">
        <v>99</v>
      </c>
      <c r="B32" s="12" t="s">
        <v>100</v>
      </c>
      <c r="C32" s="12" t="s">
        <v>101</v>
      </c>
      <c r="D32" s="18" t="s">
        <v>128</v>
      </c>
      <c r="E32" s="19" t="s">
        <v>102</v>
      </c>
    </row>
    <row r="33" spans="1:6" x14ac:dyDescent="0.3">
      <c r="A33" s="17" t="s">
        <v>103</v>
      </c>
      <c r="B33" s="13" t="s">
        <v>104</v>
      </c>
      <c r="C33" s="13" t="s">
        <v>105</v>
      </c>
      <c r="D33" s="18" t="str">
        <f>INDEX(F44:F49,MATCH(C6,C3:C13,))</f>
        <v>LogiGear</v>
      </c>
      <c r="E33" s="17" t="s">
        <v>57</v>
      </c>
    </row>
    <row r="34" spans="1:6" x14ac:dyDescent="0.3">
      <c r="A34" s="19" t="s">
        <v>106</v>
      </c>
      <c r="B34" s="12" t="s">
        <v>107</v>
      </c>
      <c r="C34" s="12" t="s">
        <v>108</v>
      </c>
      <c r="D34" s="18" t="str">
        <f>_xlfn.XLOOKUP(E49,E44:E49,C44:C49)</f>
        <v>P-05</v>
      </c>
      <c r="E34" s="19" t="s">
        <v>39</v>
      </c>
    </row>
    <row r="35" spans="1:6" x14ac:dyDescent="0.3">
      <c r="A35" s="17" t="s">
        <v>109</v>
      </c>
      <c r="B35" s="13" t="s">
        <v>110</v>
      </c>
      <c r="C35" s="13" t="s">
        <v>111</v>
      </c>
      <c r="D35" s="18"/>
      <c r="E35" s="17" t="s">
        <v>112</v>
      </c>
    </row>
    <row r="36" spans="1:6" x14ac:dyDescent="0.3">
      <c r="A36" s="19" t="s">
        <v>113</v>
      </c>
      <c r="B36" s="12" t="s">
        <v>110</v>
      </c>
      <c r="C36" s="12" t="s">
        <v>114</v>
      </c>
      <c r="D36">
        <f>AVERAGEIF(H4:H13,"&gt;1")</f>
        <v>4</v>
      </c>
      <c r="E36" s="19" t="s">
        <v>115</v>
      </c>
    </row>
    <row r="37" spans="1:6" x14ac:dyDescent="0.3">
      <c r="A37" s="17" t="s">
        <v>116</v>
      </c>
      <c r="B37" s="13" t="s">
        <v>117</v>
      </c>
      <c r="C37" s="13" t="s">
        <v>118</v>
      </c>
      <c r="D37" s="18" t="str">
        <f>INDEX(E4:E13,MATCH(F10,F4:F13,))</f>
        <v>Amit</v>
      </c>
      <c r="E37" s="17" t="s">
        <v>29</v>
      </c>
    </row>
    <row r="38" spans="1:6" x14ac:dyDescent="0.3">
      <c r="A38" s="19" t="s">
        <v>119</v>
      </c>
      <c r="B38" s="12" t="s">
        <v>117</v>
      </c>
      <c r="C38" s="12" t="s">
        <v>120</v>
      </c>
      <c r="D38" s="18" t="str">
        <f>INDEX(B4:B13,MATCH(A11,A4:A13))</f>
        <v>2026-01-22</v>
      </c>
      <c r="E38" s="19" t="s">
        <v>41</v>
      </c>
    </row>
    <row r="39" spans="1:6" x14ac:dyDescent="0.3">
      <c r="A39" s="17" t="s">
        <v>121</v>
      </c>
      <c r="B39" s="13" t="s">
        <v>122</v>
      </c>
      <c r="C39" s="13" t="s">
        <v>123</v>
      </c>
      <c r="D39" s="18" t="str">
        <f>IF(ISBLANK(F6),"incomplete","complete")</f>
        <v>incomplete</v>
      </c>
      <c r="E39" s="17" t="s">
        <v>124</v>
      </c>
    </row>
    <row r="40" spans="1:6" x14ac:dyDescent="0.3">
      <c r="A40" s="19" t="s">
        <v>125</v>
      </c>
      <c r="B40" s="12" t="s">
        <v>122</v>
      </c>
      <c r="C40" s="12" t="s">
        <v>126</v>
      </c>
      <c r="D40" s="18"/>
      <c r="E40" s="19" t="s">
        <v>127</v>
      </c>
    </row>
    <row r="43" spans="1:6" ht="21" x14ac:dyDescent="0.4">
      <c r="A43" s="1" t="s">
        <v>46</v>
      </c>
    </row>
    <row r="44" spans="1:6" x14ac:dyDescent="0.3">
      <c r="A44" s="2" t="s">
        <v>1</v>
      </c>
      <c r="B44" s="2" t="s">
        <v>2</v>
      </c>
      <c r="C44" s="2" t="s">
        <v>3</v>
      </c>
      <c r="D44" s="2" t="s">
        <v>47</v>
      </c>
      <c r="E44" s="2" t="s">
        <v>48</v>
      </c>
      <c r="F44" s="2" t="s">
        <v>49</v>
      </c>
    </row>
    <row r="45" spans="1:6" x14ac:dyDescent="0.3">
      <c r="A45" s="3" t="s">
        <v>11</v>
      </c>
      <c r="B45" s="3" t="s">
        <v>12</v>
      </c>
      <c r="C45" s="7" t="s">
        <v>13</v>
      </c>
      <c r="D45" s="12" t="s">
        <v>50</v>
      </c>
      <c r="E45" s="12" t="s">
        <v>51</v>
      </c>
      <c r="F45" s="12" t="s">
        <v>52</v>
      </c>
    </row>
    <row r="46" spans="1:6" x14ac:dyDescent="0.3">
      <c r="A46" s="7" t="s">
        <v>18</v>
      </c>
      <c r="B46" s="7" t="s">
        <v>19</v>
      </c>
      <c r="C46" s="3" t="s">
        <v>20</v>
      </c>
      <c r="D46" s="13" t="s">
        <v>50</v>
      </c>
      <c r="E46" s="13" t="s">
        <v>53</v>
      </c>
      <c r="F46" s="13" t="s">
        <v>54</v>
      </c>
    </row>
    <row r="47" spans="1:6" x14ac:dyDescent="0.3">
      <c r="A47" s="3" t="s">
        <v>23</v>
      </c>
      <c r="B47" s="3" t="s">
        <v>24</v>
      </c>
      <c r="C47" s="7" t="s">
        <v>25</v>
      </c>
      <c r="D47" s="12" t="s">
        <v>55</v>
      </c>
      <c r="E47" s="12" t="s">
        <v>56</v>
      </c>
      <c r="F47" s="12" t="s">
        <v>57</v>
      </c>
    </row>
    <row r="48" spans="1:6" x14ac:dyDescent="0.3">
      <c r="A48" s="7" t="s">
        <v>26</v>
      </c>
      <c r="B48" s="7" t="s">
        <v>27</v>
      </c>
      <c r="C48" s="3" t="s">
        <v>32</v>
      </c>
      <c r="D48" s="13" t="s">
        <v>55</v>
      </c>
      <c r="E48" s="13" t="s">
        <v>58</v>
      </c>
      <c r="F48" s="13" t="s">
        <v>59</v>
      </c>
    </row>
    <row r="49" spans="1:6" x14ac:dyDescent="0.3">
      <c r="A49" s="3" t="s">
        <v>30</v>
      </c>
      <c r="B49" s="3" t="s">
        <v>31</v>
      </c>
      <c r="C49" s="7" t="s">
        <v>39</v>
      </c>
      <c r="D49" s="12" t="s">
        <v>60</v>
      </c>
      <c r="E49" s="12" t="s">
        <v>61</v>
      </c>
      <c r="F49" s="12" t="s">
        <v>62</v>
      </c>
    </row>
    <row r="65" spans="1:2" x14ac:dyDescent="0.3">
      <c r="A65" s="7" t="s">
        <v>35</v>
      </c>
      <c r="B65" s="7" t="s">
        <v>36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MUSTANSIR HUSSAIN</cp:lastModifiedBy>
  <dcterms:created xsi:type="dcterms:W3CDTF">2026-09-10T14:31:57Z</dcterms:created>
  <dcterms:modified xsi:type="dcterms:W3CDTF">2026-09-11T04:37:02Z</dcterms:modified>
</cp:coreProperties>
</file>